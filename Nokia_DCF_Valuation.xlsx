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gabrielmildner/Downloads/"/>
    </mc:Choice>
  </mc:AlternateContent>
  <xr:revisionPtr revIDLastSave="0" documentId="13_ncr:1_{D206383A-BF69-5D44-85FB-F22057E6B47B}" xr6:coauthVersionLast="47" xr6:coauthVersionMax="47" xr10:uidLastSave="{00000000-0000-0000-0000-000000000000}"/>
  <bookViews>
    <workbookView xWindow="0" yWindow="660" windowWidth="30240" windowHeight="17760" xr2:uid="{00000000-000D-0000-FFFF-FFFF00000000}"/>
  </bookViews>
  <sheets>
    <sheet name="Summary" sheetId="1" r:id="rId1"/>
    <sheet name="Assumptions" sheetId="2" r:id="rId2"/>
    <sheet name="DCF Model" sheetId="3" r:id="rId3"/>
    <sheet name="Sensitivit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1" i="3" l="1"/>
  <c r="D27" i="3"/>
  <c r="D25" i="3"/>
  <c r="I18" i="3"/>
  <c r="H18" i="3"/>
  <c r="G18" i="3"/>
  <c r="F18" i="3"/>
  <c r="E18" i="3"/>
  <c r="D18" i="3"/>
  <c r="D15" i="3"/>
  <c r="D14" i="3"/>
  <c r="D10" i="3"/>
  <c r="I9" i="3"/>
  <c r="H9" i="3"/>
  <c r="G9" i="3"/>
  <c r="F9" i="3"/>
  <c r="E9" i="3"/>
  <c r="D9" i="3"/>
  <c r="I8" i="3"/>
  <c r="H8" i="3"/>
  <c r="G8" i="3"/>
  <c r="F8" i="3"/>
  <c r="E8" i="3"/>
  <c r="D8" i="3"/>
  <c r="D7" i="3"/>
  <c r="D13" i="3" s="1"/>
  <c r="D10" i="1"/>
  <c r="D8" i="1"/>
  <c r="E7" i="3" l="1"/>
  <c r="D11" i="3"/>
  <c r="D12" i="3" s="1"/>
  <c r="D16" i="3" s="1"/>
  <c r="E15" i="3" l="1"/>
  <c r="F7" i="3"/>
  <c r="E14" i="3"/>
  <c r="E10" i="3"/>
  <c r="E13" i="3"/>
  <c r="E11" i="3" l="1"/>
  <c r="E12" i="3"/>
  <c r="E16" i="3" s="1"/>
  <c r="F10" i="3"/>
  <c r="F13" i="3"/>
  <c r="F15" i="3"/>
  <c r="G7" i="3"/>
  <c r="F14" i="3"/>
  <c r="F11" i="3" l="1"/>
  <c r="F12" i="3"/>
  <c r="F16" i="3" s="1"/>
  <c r="G14" i="3"/>
  <c r="G10" i="3"/>
  <c r="G15" i="3"/>
  <c r="G13" i="3"/>
  <c r="H7" i="3"/>
  <c r="I7" i="3" l="1"/>
  <c r="H15" i="3"/>
  <c r="H14" i="3"/>
  <c r="H10" i="3"/>
  <c r="H13" i="3"/>
  <c r="G11" i="3"/>
  <c r="G12" i="3"/>
  <c r="G16" i="3" s="1"/>
  <c r="H11" i="3" l="1"/>
  <c r="H12" i="3" s="1"/>
  <c r="H16" i="3" s="1"/>
  <c r="I10" i="3"/>
  <c r="I13" i="3"/>
  <c r="I15" i="3"/>
  <c r="I14" i="3"/>
  <c r="I11" i="3" l="1"/>
  <c r="I12" i="3" s="1"/>
  <c r="I16" i="3" s="1"/>
  <c r="D23" i="3" l="1"/>
  <c r="H9" i="4"/>
  <c r="E9" i="4"/>
  <c r="F9" i="4"/>
  <c r="D10" i="4"/>
  <c r="F11" i="4"/>
  <c r="D12" i="4"/>
  <c r="F12" i="4"/>
  <c r="H12" i="4"/>
  <c r="H11" i="4"/>
  <c r="F10" i="4"/>
  <c r="D22" i="3"/>
  <c r="D24" i="3" s="1"/>
  <c r="E8" i="4"/>
  <c r="H10" i="4"/>
  <c r="E11" i="4"/>
  <c r="G9" i="4"/>
  <c r="D8" i="4"/>
  <c r="G11" i="4"/>
  <c r="F8" i="4"/>
  <c r="G10" i="4"/>
  <c r="G12" i="4"/>
  <c r="D11" i="4"/>
  <c r="G8" i="4"/>
  <c r="D9" i="4"/>
  <c r="E10" i="4"/>
  <c r="H8" i="4"/>
  <c r="E12" i="4"/>
  <c r="D26" i="3" l="1"/>
  <c r="D7" i="1"/>
  <c r="D30" i="3"/>
  <c r="D28" i="3" l="1"/>
  <c r="D9" i="1"/>
  <c r="D11" i="1" l="1"/>
  <c r="D29" i="3"/>
  <c r="D12" i="1" s="1"/>
</calcChain>
</file>

<file path=xl/sharedStrings.xml><?xml version="1.0" encoding="utf-8"?>
<sst xmlns="http://schemas.openxmlformats.org/spreadsheetml/2006/main" count="206" uniqueCount="68">
  <si>
    <t>Nokia DCF Valuation</t>
  </si>
  <si>
    <t>Illustrative student model based on a point-in-time valuation exercise</t>
  </si>
  <si>
    <t>Valuation Summary</t>
  </si>
  <si>
    <t>Enterprise value</t>
  </si>
  <si>
    <t>Net cash</t>
  </si>
  <si>
    <t>Equity value</t>
  </si>
  <si>
    <t>Diluted shares</t>
  </si>
  <si>
    <t>Implied value per share</t>
  </si>
  <si>
    <t>Upside or downside</t>
  </si>
  <si>
    <t>Model Takeaways</t>
  </si>
  <si>
    <t>The model values Nokia from forecast unlevered free cash flow and a perpetual-growth terminal value. The main output is highly sensitive to WACC and terminal growth, so the Sensitivity tab should be reviewed with the base result. All yellow cells on the Assumptions tab are editable.</t>
  </si>
  <si>
    <t>Nokia DCF Assumptions</t>
  </si>
  <si>
    <t>Yellow cells are editable analyst inputs; monetary figures are in EUR millions except per-share data</t>
  </si>
  <si>
    <t>Company and Valuation Inputs</t>
  </si>
  <si>
    <t>Input</t>
  </si>
  <si>
    <t>Value</t>
  </si>
  <si>
    <t>Basis</t>
  </si>
  <si>
    <t>Current share price</t>
  </si>
  <si>
    <t>Training exercise input</t>
  </si>
  <si>
    <t>Implied by EUR 67.2bn equity value at EUR 12.00 per share</t>
  </si>
  <si>
    <t>Equity value less enterprise value in the exercise</t>
  </si>
  <si>
    <t>Base year revenue</t>
  </si>
  <si>
    <t>Illustrative starting point</t>
  </si>
  <si>
    <t>Base year EBIT margin</t>
  </si>
  <si>
    <t>Forecast Assumptions</t>
  </si>
  <si>
    <t>Driver</t>
  </si>
  <si>
    <t>2025A</t>
  </si>
  <si>
    <t>2026E</t>
  </si>
  <si>
    <t>2027E</t>
  </si>
  <si>
    <t>2028E</t>
  </si>
  <si>
    <t>2029E</t>
  </si>
  <si>
    <t>2030E</t>
  </si>
  <si>
    <t>Revenue growth</t>
  </si>
  <si>
    <t>EBIT margin</t>
  </si>
  <si>
    <t>D&amp;A as % of revenue</t>
  </si>
  <si>
    <t>Capital expenditures as % of revenue</t>
  </si>
  <si>
    <t>Change in NWC as % of revenue</t>
  </si>
  <si>
    <t>Cash tax rate</t>
  </si>
  <si>
    <t>Terminal Value Inputs</t>
  </si>
  <si>
    <t>Method</t>
  </si>
  <si>
    <t>WACC</t>
  </si>
  <si>
    <t>Discount rate</t>
  </si>
  <si>
    <t>Terminal growth rate</t>
  </si>
  <si>
    <t>Perpetual growth</t>
  </si>
  <si>
    <t>Sources and Scope</t>
  </si>
  <si>
    <t>Public reference: Nokia 2025 Annual Report and investor reports at https://www.nokia.com/about-us/investors/results-reports/. The current share price, diluted equity value, enterprise value bridge, and share count are based on the user's point-in-time valuation training exercise. Forecast growth, margins, reinvestment, WACC, and terminal growth are editable analyst assumptions created for this illustrative model.</t>
  </si>
  <si>
    <t>Nokia Discounted Cash Flow Model</t>
  </si>
  <si>
    <t>Unlevered free cash flow valuation in EUR millions except per-share data</t>
  </si>
  <si>
    <t>Metric</t>
  </si>
  <si>
    <t>Revenue</t>
  </si>
  <si>
    <t>EBIT</t>
  </si>
  <si>
    <t>Cash taxes</t>
  </si>
  <si>
    <t>NOPAT</t>
  </si>
  <si>
    <t>D&amp;A</t>
  </si>
  <si>
    <t>Capital expenditures</t>
  </si>
  <si>
    <t>Change in NWC</t>
  </si>
  <si>
    <t>Unlevered free cash flow</t>
  </si>
  <si>
    <t>Discount period</t>
  </si>
  <si>
    <t>Discount factor</t>
  </si>
  <si>
    <t>Valuation Bridge</t>
  </si>
  <si>
    <t>PV of forecast free cash flow</t>
  </si>
  <si>
    <t>PV of terminal value</t>
  </si>
  <si>
    <t>Terminal value as % of EV</t>
  </si>
  <si>
    <t>DCF Sensitivity Analysis</t>
  </si>
  <si>
    <t>Implied value per share across WACC and terminal-growth assumptions</t>
  </si>
  <si>
    <t>WACC and Terminal Growth</t>
  </si>
  <si>
    <t>WACC / Growth</t>
  </si>
  <si>
    <t>The highlighted cell matches the base assumptions of 8.5% WACC and 2.5% terminal growth. This table shows why a single DCF value should be treated as a range rather than an exact price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</si>
</sst>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
    <numFmt numFmtId="166" formatCode="0.0%"/>
    <numFmt numFmtId="167" formatCode="#,##0.0;\(#,##0.0\);\-"/>
    <numFmt numFmtId="168" formatCode="0.0"/>
    <numFmt numFmtId="169" formatCode="0.000\x"/>
  </numFmts>
  <fonts count="10">
    <font>
      <sz val="11"/>
      <name val="Carlito"/>
    </font>
    <font>
      <sz val="10"/>
      <color rgb="FF000000"/>
      <name val="Arial"/>
      <family val="2"/>
    </font>
    <font>
      <b/>
      <sz val="16"/>
      <color rgb="FF000000"/>
      <name val="Arial"/>
      <family val="2"/>
    </font>
    <font>
      <i/>
      <sz val="10"/>
      <color rgb="FF666666"/>
      <name val="Arial"/>
      <family val="2"/>
    </font>
    <font>
      <b/>
      <sz val="10"/>
      <color rgb="FFFFFFFF"/>
      <name val="Arial"/>
      <family val="2"/>
    </font>
    <font>
      <b/>
      <sz val="11"/>
      <color rgb="FF000000"/>
      <name val="Arial"/>
      <family val="2"/>
    </font>
    <font>
      <b/>
      <sz val="10"/>
      <color rgb="FF000000"/>
      <name val="Arial"/>
      <family val="2"/>
    </font>
    <font>
      <sz val="10"/>
      <color rgb="FF0000FF"/>
      <name val="Arial"/>
      <family val="2"/>
    </font>
    <font>
      <i/>
      <sz val="10"/>
      <color rgb="FF008000"/>
      <name val="Arial"/>
      <family val="2"/>
    </font>
    <font>
      <sz val="10"/>
      <color rgb="FF008000"/>
      <name val="Arial"/>
      <family val="2"/>
    </font>
  </fonts>
  <fills count="9">
    <fill>
      <patternFill patternType="none"/>
    </fill>
    <fill>
      <patternFill patternType="gray125"/>
    </fill>
    <fill>
      <patternFill patternType="solid">
        <fgColor rgb="FF17365D"/>
      </patternFill>
    </fill>
    <fill>
      <patternFill patternType="solid">
        <fgColor rgb="FFEEF5FA"/>
      </patternFill>
    </fill>
    <fill>
      <patternFill patternType="solid">
        <fgColor rgb="FFF8F8F8"/>
      </patternFill>
    </fill>
    <fill>
      <patternFill patternType="solid">
        <fgColor rgb="FF1F4E78"/>
      </patternFill>
    </fill>
    <fill>
      <patternFill patternType="solid">
        <fgColor rgb="FFFFF2CC"/>
      </patternFill>
    </fill>
    <fill>
      <patternFill patternType="solid">
        <fgColor rgb="FFD9EAF7"/>
      </patternFill>
    </fill>
    <fill>
      <patternFill patternType="solid">
        <fgColor rgb="FFC6E0B4"/>
      </patternFill>
    </fill>
  </fills>
  <borders count="13">
    <border>
      <left/>
      <right/>
      <top/>
      <bottom/>
      <diagonal/>
    </border>
    <border>
      <left/>
      <right/>
      <top/>
      <bottom style="thin">
        <color rgb="FF17365D"/>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000000"/>
      </top>
      <bottom style="double">
        <color rgb="FF000000"/>
      </bottom>
      <diagonal/>
    </border>
  </borders>
  <cellStyleXfs count="1">
    <xf numFmtId="0" fontId="0" fillId="0" borderId="0"/>
  </cellStyleXfs>
  <cellXfs count="54">
    <xf numFmtId="0" fontId="0" fillId="0" borderId="0" xfId="0"/>
    <xf numFmtId="0" fontId="6" fillId="3" borderId="2" xfId="0" applyFont="1" applyFill="1" applyBorder="1" applyAlignment="1">
      <alignment vertical="center"/>
    </xf>
    <xf numFmtId="0" fontId="4" fillId="5" borderId="11" xfId="0" applyFont="1" applyFill="1" applyBorder="1" applyAlignment="1">
      <alignment horizontal="center" vertical="center"/>
    </xf>
    <xf numFmtId="0" fontId="1" fillId="0" borderId="0" xfId="0" applyFont="1" applyAlignment="1">
      <alignment vertical="center"/>
    </xf>
    <xf numFmtId="165" fontId="7" fillId="6" borderId="2" xfId="0" applyNumberFormat="1" applyFont="1" applyFill="1" applyBorder="1" applyAlignment="1">
      <alignment vertical="center"/>
    </xf>
    <xf numFmtId="0" fontId="1" fillId="0" borderId="2" xfId="0" applyFont="1" applyBorder="1" applyAlignment="1">
      <alignment vertical="center"/>
    </xf>
    <xf numFmtId="164" fontId="7" fillId="6" borderId="2" xfId="0" applyNumberFormat="1" applyFont="1" applyFill="1" applyBorder="1" applyAlignment="1">
      <alignment vertical="center"/>
    </xf>
    <xf numFmtId="166" fontId="7" fillId="6" borderId="2" xfId="0" applyNumberFormat="1" applyFont="1" applyFill="1" applyBorder="1" applyAlignment="1">
      <alignment vertical="center"/>
    </xf>
    <xf numFmtId="0" fontId="4" fillId="5" borderId="2" xfId="0" applyFont="1" applyFill="1" applyBorder="1" applyAlignment="1">
      <alignment horizontal="center" vertical="center"/>
    </xf>
    <xf numFmtId="0" fontId="4" fillId="5" borderId="2" xfId="0" applyFont="1" applyFill="1" applyBorder="1" applyAlignment="1">
      <alignment horizontal="left" vertical="center"/>
    </xf>
    <xf numFmtId="166" fontId="4" fillId="5" borderId="11" xfId="0" applyNumberFormat="1" applyFont="1" applyFill="1" applyBorder="1" applyAlignment="1">
      <alignment horizontal="center" vertical="center"/>
    </xf>
    <xf numFmtId="0" fontId="1" fillId="0" borderId="1" xfId="0" applyFont="1" applyBorder="1" applyAlignment="1">
      <alignment vertical="center"/>
    </xf>
    <xf numFmtId="164" fontId="5" fillId="0" borderId="2" xfId="0" applyNumberFormat="1" applyFont="1" applyBorder="1" applyAlignment="1">
      <alignment horizontal="right" vertical="center"/>
    </xf>
    <xf numFmtId="165" fontId="5" fillId="0" borderId="2" xfId="0" applyNumberFormat="1" applyFont="1" applyBorder="1" applyAlignment="1">
      <alignment horizontal="right" vertical="center"/>
    </xf>
    <xf numFmtId="166" fontId="5" fillId="0" borderId="2" xfId="0" applyNumberFormat="1" applyFont="1" applyBorder="1" applyAlignment="1">
      <alignment horizontal="right" vertical="center"/>
    </xf>
    <xf numFmtId="0" fontId="1" fillId="0" borderId="2" xfId="0" applyFont="1" applyBorder="1" applyAlignment="1">
      <alignment horizontal="left" vertical="center"/>
    </xf>
    <xf numFmtId="164" fontId="9" fillId="0" borderId="2" xfId="0" applyNumberFormat="1" applyFont="1" applyBorder="1" applyAlignment="1">
      <alignment horizontal="right" vertical="center"/>
    </xf>
    <xf numFmtId="0" fontId="8" fillId="0" borderId="2" xfId="0" applyFont="1" applyBorder="1" applyAlignment="1">
      <alignment horizontal="left" vertical="center"/>
    </xf>
    <xf numFmtId="166" fontId="8" fillId="0" borderId="2" xfId="0" applyNumberFormat="1" applyFont="1" applyBorder="1" applyAlignment="1">
      <alignment horizontal="right" vertical="center"/>
    </xf>
    <xf numFmtId="0" fontId="6" fillId="0" borderId="2" xfId="0" applyFont="1" applyBorder="1" applyAlignment="1">
      <alignment horizontal="left" vertical="center"/>
    </xf>
    <xf numFmtId="167" fontId="6" fillId="0" borderId="2" xfId="0" applyNumberFormat="1" applyFont="1" applyBorder="1" applyAlignment="1">
      <alignment horizontal="right" vertical="center"/>
    </xf>
    <xf numFmtId="167" fontId="9" fillId="0" borderId="2" xfId="0" applyNumberFormat="1" applyFont="1" applyBorder="1" applyAlignment="1">
      <alignment horizontal="right" vertical="center"/>
    </xf>
    <xf numFmtId="0" fontId="6" fillId="0" borderId="12" xfId="0" applyFont="1" applyBorder="1" applyAlignment="1">
      <alignment horizontal="left" vertical="center"/>
    </xf>
    <xf numFmtId="167" fontId="6" fillId="0" borderId="12" xfId="0" applyNumberFormat="1" applyFont="1" applyBorder="1" applyAlignment="1">
      <alignment horizontal="right" vertical="center"/>
    </xf>
    <xf numFmtId="168" fontId="1" fillId="0" borderId="2" xfId="0" applyNumberFormat="1" applyFont="1" applyBorder="1" applyAlignment="1">
      <alignment horizontal="right" vertical="center"/>
    </xf>
    <xf numFmtId="169" fontId="1" fillId="0" borderId="2" xfId="0" applyNumberFormat="1" applyFont="1" applyBorder="1" applyAlignment="1">
      <alignment horizontal="right" vertical="center"/>
    </xf>
    <xf numFmtId="169" fontId="9" fillId="0" borderId="2" xfId="0" applyNumberFormat="1" applyFont="1" applyBorder="1" applyAlignment="1">
      <alignment horizontal="right" vertical="center"/>
    </xf>
    <xf numFmtId="0" fontId="1" fillId="0" borderId="0" xfId="0" applyFont="1" applyAlignment="1">
      <alignment horizontal="left" vertical="center"/>
    </xf>
    <xf numFmtId="0" fontId="1" fillId="0" borderId="0" xfId="0" applyFont="1" applyAlignment="1">
      <alignment horizontal="right" vertical="center"/>
    </xf>
    <xf numFmtId="0" fontId="1" fillId="3" borderId="2" xfId="0" applyFont="1" applyFill="1" applyBorder="1" applyAlignment="1">
      <alignment horizontal="left" vertical="center"/>
    </xf>
    <xf numFmtId="167" fontId="1" fillId="0" borderId="2" xfId="0" applyNumberFormat="1" applyFont="1" applyBorder="1" applyAlignment="1">
      <alignment horizontal="right" vertical="center"/>
    </xf>
    <xf numFmtId="0" fontId="6" fillId="3" borderId="2" xfId="0" applyFont="1" applyFill="1" applyBorder="1" applyAlignment="1">
      <alignment horizontal="left" vertical="center"/>
    </xf>
    <xf numFmtId="0" fontId="6" fillId="3" borderId="12" xfId="0" applyFont="1" applyFill="1" applyBorder="1" applyAlignment="1">
      <alignment horizontal="left" vertical="center"/>
    </xf>
    <xf numFmtId="165" fontId="6" fillId="0" borderId="12" xfId="0" applyNumberFormat="1" applyFont="1" applyBorder="1" applyAlignment="1">
      <alignment horizontal="right" vertical="center"/>
    </xf>
    <xf numFmtId="166" fontId="6" fillId="0" borderId="2" xfId="0" applyNumberFormat="1" applyFont="1" applyBorder="1" applyAlignment="1">
      <alignment horizontal="right" vertical="center"/>
    </xf>
    <xf numFmtId="165" fontId="1" fillId="0" borderId="2" xfId="0" applyNumberFormat="1" applyFont="1" applyBorder="1" applyAlignment="1">
      <alignment horizontal="right" vertical="center"/>
    </xf>
    <xf numFmtId="166" fontId="6" fillId="7" borderId="2" xfId="0" applyNumberFormat="1" applyFont="1" applyFill="1" applyBorder="1" applyAlignment="1">
      <alignment vertical="center"/>
    </xf>
    <xf numFmtId="165" fontId="9" fillId="0" borderId="2" xfId="0" applyNumberFormat="1" applyFont="1" applyBorder="1" applyAlignment="1">
      <alignment horizontal="center" vertical="center"/>
    </xf>
    <xf numFmtId="165" fontId="6" fillId="8" borderId="2" xfId="0" applyNumberFormat="1" applyFont="1" applyFill="1" applyBorder="1" applyAlignment="1">
      <alignment horizontal="center" vertical="center"/>
    </xf>
    <xf numFmtId="0" fontId="2" fillId="0" borderId="0" xfId="0" applyFont="1" applyAlignment="1">
      <alignment vertical="center"/>
    </xf>
    <xf numFmtId="0" fontId="1" fillId="0" borderId="0" xfId="0" applyFont="1" applyAlignment="1">
      <alignment vertical="center"/>
    </xf>
    <xf numFmtId="0" fontId="3" fillId="0" borderId="0" xfId="0" applyFont="1" applyAlignment="1">
      <alignment vertical="center"/>
    </xf>
    <xf numFmtId="0" fontId="4" fillId="2" borderId="0" xfId="0" applyFont="1" applyFill="1" applyAlignment="1">
      <alignment vertical="center"/>
    </xf>
    <xf numFmtId="0" fontId="1" fillId="4" borderId="3" xfId="0" applyFont="1" applyFill="1" applyBorder="1" applyAlignment="1">
      <alignment vertical="center" wrapText="1"/>
    </xf>
    <xf numFmtId="0" fontId="1" fillId="4" borderId="4" xfId="0" applyFont="1" applyFill="1" applyBorder="1" applyAlignment="1">
      <alignment vertical="center" wrapText="1"/>
    </xf>
    <xf numFmtId="0" fontId="1" fillId="4" borderId="5" xfId="0" applyFont="1" applyFill="1" applyBorder="1" applyAlignment="1">
      <alignment vertical="center" wrapText="1"/>
    </xf>
    <xf numFmtId="0" fontId="1" fillId="4" borderId="6" xfId="0" applyFont="1" applyFill="1" applyBorder="1" applyAlignment="1">
      <alignment vertical="center" wrapText="1"/>
    </xf>
    <xf numFmtId="0" fontId="1" fillId="4" borderId="0" xfId="0" applyFont="1" applyFill="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9" xfId="0" applyFont="1" applyFill="1" applyBorder="1" applyAlignment="1">
      <alignment vertical="center" wrapText="1"/>
    </xf>
    <xf numFmtId="0" fontId="1" fillId="4" borderId="10" xfId="0" applyFont="1" applyFill="1" applyBorder="1" applyAlignment="1">
      <alignment vertical="center" wrapText="1"/>
    </xf>
    <xf numFmtId="0" fontId="4" fillId="2" borderId="0" xfId="0" applyFont="1" applyFill="1" applyAlignment="1">
      <alignment horizontal="left" vertical="center"/>
    </xf>
    <xf numFmtId="0" fontId="4" fillId="2" borderId="0" xfId="0" applyFont="1" applyFill="1" applyAlignment="1">
      <alignment horizontal="right" vertical="center"/>
    </xf>
  </cellXfs>
  <cellStyles count="1">
    <cellStyle name="Normal" xfId="0" builtinId="0"/>
  </cellStyles>
  <dxfs count="4">
    <dxf>
      <font>
        <b/>
        <color rgb="FF006100"/>
      </font>
      <fill>
        <patternFill patternType="solid">
          <bgColor rgb="FFE2F0D9"/>
        </patternFill>
      </fill>
    </dxf>
    <dxf>
      <font>
        <b/>
        <color rgb="FFC00000"/>
      </font>
      <fill>
        <patternFill patternType="solid">
          <bgColor rgb="FFFCE8E6"/>
        </patternFill>
      </fill>
    </dxf>
    <dxf>
      <font>
        <b/>
        <color rgb="FF006100"/>
      </font>
      <fill>
        <patternFill patternType="solid">
          <bgColor rgb="FFE2F0D9"/>
        </patternFill>
      </fill>
    </dxf>
    <dxf>
      <font>
        <b/>
        <color rgb="FFC00000"/>
      </font>
      <fill>
        <patternFill patternType="solid">
          <bgColor rgb="FFFCE8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sheetPr>
  <dimension ref="A1:Z80"/>
  <sheetViews>
    <sheetView tabSelected="1" workbookViewId="0">
      <pane ySplit="4" topLeftCell="A5" activePane="bottomLeft" state="frozen"/>
      <selection pane="bottomLeft" activeCell="K15" sqref="K15"/>
    </sheetView>
  </sheetViews>
  <sheetFormatPr baseColWidth="10" defaultColWidth="8.83203125" defaultRowHeight="14"/>
  <cols>
    <col min="1" max="2" width="2.33203125" customWidth="1"/>
    <col min="3" max="3" width="31" customWidth="1"/>
    <col min="4" max="4" width="18"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ht="24" customHeight="1">
      <c r="A2" s="3"/>
      <c r="B2" s="3"/>
      <c r="C2" s="39" t="s">
        <v>0</v>
      </c>
      <c r="D2" s="40"/>
      <c r="E2" s="40"/>
      <c r="F2" s="40"/>
      <c r="G2" s="40"/>
      <c r="H2" s="40"/>
      <c r="I2" s="40"/>
      <c r="J2" s="3"/>
      <c r="K2" s="3"/>
      <c r="L2" s="3"/>
      <c r="M2" s="3"/>
      <c r="N2" s="3"/>
      <c r="O2" s="3"/>
      <c r="P2" s="3"/>
      <c r="Q2" s="3"/>
      <c r="R2" s="3"/>
      <c r="S2" s="3"/>
      <c r="T2" s="3"/>
      <c r="U2" s="3"/>
      <c r="V2" s="3"/>
      <c r="W2" s="3"/>
      <c r="X2" s="3"/>
      <c r="Y2" s="3"/>
      <c r="Z2" s="3"/>
    </row>
    <row r="3" spans="1:26">
      <c r="A3" s="3"/>
      <c r="B3" s="3"/>
      <c r="C3" s="41" t="s">
        <v>1</v>
      </c>
      <c r="D3" s="40"/>
      <c r="E3" s="40"/>
      <c r="F3" s="40"/>
      <c r="G3" s="40"/>
      <c r="H3" s="40"/>
      <c r="I3" s="40"/>
      <c r="J3" s="3"/>
      <c r="K3" s="3"/>
      <c r="L3" s="3"/>
      <c r="M3" s="3"/>
      <c r="N3" s="3"/>
      <c r="O3" s="3"/>
      <c r="P3" s="3"/>
      <c r="Q3" s="3"/>
      <c r="R3" s="3"/>
      <c r="S3" s="3"/>
      <c r="T3" s="3"/>
      <c r="U3" s="3"/>
      <c r="V3" s="3"/>
      <c r="W3" s="3"/>
      <c r="X3" s="3"/>
      <c r="Y3" s="3"/>
      <c r="Z3" s="3"/>
    </row>
    <row r="4" spans="1:26">
      <c r="A4" s="3"/>
      <c r="B4" s="3"/>
      <c r="C4" s="11"/>
      <c r="D4" s="11"/>
      <c r="E4" s="11"/>
      <c r="F4" s="11"/>
      <c r="G4" s="11"/>
      <c r="H4" s="11"/>
      <c r="I4" s="11"/>
      <c r="J4" s="3"/>
      <c r="K4" s="3"/>
      <c r="L4" s="3"/>
      <c r="M4" s="3"/>
      <c r="N4" s="3"/>
      <c r="O4" s="3"/>
      <c r="P4" s="3"/>
      <c r="Q4" s="3"/>
      <c r="R4" s="3"/>
      <c r="S4" s="3"/>
      <c r="T4" s="3"/>
      <c r="U4" s="3"/>
      <c r="V4" s="3"/>
      <c r="W4" s="3"/>
      <c r="X4" s="3"/>
      <c r="Y4" s="3"/>
      <c r="Z4" s="3"/>
    </row>
    <row r="5" spans="1:26">
      <c r="A5" s="3"/>
      <c r="B5" s="3"/>
      <c r="C5" s="3"/>
      <c r="D5" s="3"/>
      <c r="E5" s="3"/>
      <c r="F5" s="3"/>
      <c r="G5" s="3"/>
      <c r="H5" s="3"/>
      <c r="I5" s="3"/>
      <c r="J5" s="3"/>
      <c r="K5" s="3"/>
      <c r="L5" s="3"/>
      <c r="M5" s="3"/>
      <c r="N5" s="3"/>
      <c r="O5" s="3"/>
      <c r="P5" s="3"/>
      <c r="Q5" s="3"/>
      <c r="R5" s="3"/>
      <c r="S5" s="3"/>
      <c r="T5" s="3"/>
      <c r="U5" s="3"/>
      <c r="V5" s="3"/>
      <c r="W5" s="3"/>
      <c r="X5" s="3"/>
      <c r="Y5" s="3"/>
      <c r="Z5" s="3"/>
    </row>
    <row r="6" spans="1:26" ht="20" customHeight="1">
      <c r="A6" s="3"/>
      <c r="B6" s="3"/>
      <c r="C6" s="42" t="s">
        <v>2</v>
      </c>
      <c r="D6" s="42" t="s">
        <v>2</v>
      </c>
      <c r="E6" s="42" t="s">
        <v>2</v>
      </c>
      <c r="F6" s="42" t="s">
        <v>2</v>
      </c>
      <c r="G6" s="42" t="s">
        <v>2</v>
      </c>
      <c r="H6" s="42" t="s">
        <v>2</v>
      </c>
      <c r="I6" s="3"/>
      <c r="J6" s="3"/>
      <c r="K6" s="3"/>
      <c r="L6" s="3"/>
      <c r="M6" s="3"/>
      <c r="N6" s="3"/>
      <c r="O6" s="3"/>
      <c r="P6" s="3"/>
      <c r="Q6" s="3"/>
      <c r="R6" s="3"/>
      <c r="S6" s="3"/>
      <c r="T6" s="3"/>
      <c r="U6" s="3"/>
      <c r="V6" s="3"/>
      <c r="W6" s="3"/>
      <c r="X6" s="3"/>
      <c r="Y6" s="3"/>
      <c r="Z6" s="3"/>
    </row>
    <row r="7" spans="1:26" ht="22" customHeight="1">
      <c r="A7" s="3"/>
      <c r="B7" s="3"/>
      <c r="C7" s="1" t="s">
        <v>3</v>
      </c>
      <c r="D7" s="12">
        <f>'DCF Model'!D24</f>
        <v>29773.379356999274</v>
      </c>
      <c r="E7" s="3"/>
      <c r="F7" s="3"/>
      <c r="G7" s="3"/>
      <c r="H7" s="3"/>
      <c r="I7" s="3"/>
      <c r="J7" s="3"/>
      <c r="K7" s="3"/>
      <c r="L7" s="3"/>
      <c r="M7" s="3"/>
      <c r="N7" s="3"/>
      <c r="O7" s="3"/>
      <c r="P7" s="3"/>
      <c r="Q7" s="3"/>
      <c r="R7" s="3"/>
      <c r="S7" s="3"/>
      <c r="T7" s="3"/>
      <c r="U7" s="3"/>
      <c r="V7" s="3"/>
      <c r="W7" s="3"/>
      <c r="X7" s="3"/>
      <c r="Y7" s="3"/>
      <c r="Z7" s="3"/>
    </row>
    <row r="8" spans="1:26" ht="22" customHeight="1">
      <c r="A8" s="3"/>
      <c r="B8" s="3"/>
      <c r="C8" s="1" t="s">
        <v>4</v>
      </c>
      <c r="D8" s="12">
        <f>Assumptions!D10</f>
        <v>6944</v>
      </c>
      <c r="E8" s="3"/>
      <c r="F8" s="3"/>
      <c r="G8" s="3"/>
      <c r="H8" s="3"/>
      <c r="I8" s="3"/>
      <c r="J8" s="3"/>
      <c r="K8" s="3"/>
      <c r="L8" s="3"/>
      <c r="M8" s="3"/>
      <c r="N8" s="3"/>
      <c r="O8" s="3"/>
      <c r="P8" s="3"/>
      <c r="Q8" s="3"/>
      <c r="R8" s="3"/>
      <c r="S8" s="3"/>
      <c r="T8" s="3"/>
      <c r="U8" s="3"/>
      <c r="V8" s="3"/>
      <c r="W8" s="3"/>
      <c r="X8" s="3"/>
      <c r="Y8" s="3"/>
      <c r="Z8" s="3"/>
    </row>
    <row r="9" spans="1:26" ht="22" customHeight="1">
      <c r="A9" s="3"/>
      <c r="B9" s="3"/>
      <c r="C9" s="1" t="s">
        <v>5</v>
      </c>
      <c r="D9" s="12">
        <f>'DCF Model'!D26</f>
        <v>36717.37935699927</v>
      </c>
      <c r="E9" s="3"/>
      <c r="F9" s="3"/>
      <c r="G9" s="3"/>
      <c r="H9" s="3"/>
      <c r="I9" s="3"/>
      <c r="J9" s="3"/>
      <c r="K9" s="3"/>
      <c r="L9" s="3"/>
      <c r="M9" s="3"/>
      <c r="N9" s="3"/>
      <c r="O9" s="3"/>
      <c r="P9" s="3"/>
      <c r="Q9" s="3"/>
      <c r="R9" s="3"/>
      <c r="S9" s="3"/>
      <c r="T9" s="3"/>
      <c r="U9" s="3"/>
      <c r="V9" s="3"/>
      <c r="W9" s="3"/>
      <c r="X9" s="3"/>
      <c r="Y9" s="3"/>
      <c r="Z9" s="3"/>
    </row>
    <row r="10" spans="1:26" ht="22" customHeight="1">
      <c r="A10" s="3"/>
      <c r="B10" s="3"/>
      <c r="C10" s="1" t="s">
        <v>6</v>
      </c>
      <c r="D10" s="12">
        <f>Assumptions!D9</f>
        <v>5600</v>
      </c>
      <c r="E10" s="3"/>
      <c r="F10" s="3"/>
      <c r="G10" s="3"/>
      <c r="H10" s="3"/>
      <c r="I10" s="3"/>
      <c r="J10" s="3"/>
      <c r="K10" s="3"/>
      <c r="L10" s="3"/>
      <c r="M10" s="3"/>
      <c r="N10" s="3"/>
      <c r="O10" s="3"/>
      <c r="P10" s="3"/>
      <c r="Q10" s="3"/>
      <c r="R10" s="3"/>
      <c r="S10" s="3"/>
      <c r="T10" s="3"/>
      <c r="U10" s="3"/>
      <c r="V10" s="3"/>
      <c r="W10" s="3"/>
      <c r="X10" s="3"/>
      <c r="Y10" s="3"/>
      <c r="Z10" s="3"/>
    </row>
    <row r="11" spans="1:26" ht="22" customHeight="1">
      <c r="A11" s="3"/>
      <c r="B11" s="3"/>
      <c r="C11" s="1" t="s">
        <v>7</v>
      </c>
      <c r="D11" s="13">
        <f>'DCF Model'!D28</f>
        <v>6.5566748851784409</v>
      </c>
      <c r="E11" s="3"/>
      <c r="F11" s="3"/>
      <c r="G11" s="3"/>
      <c r="H11" s="3"/>
      <c r="I11" s="3"/>
      <c r="J11" s="3"/>
      <c r="K11" s="3"/>
      <c r="L11" s="3"/>
      <c r="M11" s="3"/>
      <c r="N11" s="3"/>
      <c r="O11" s="3"/>
      <c r="P11" s="3"/>
      <c r="Q11" s="3"/>
      <c r="R11" s="3"/>
      <c r="S11" s="3"/>
      <c r="T11" s="3"/>
      <c r="U11" s="3"/>
      <c r="V11" s="3"/>
      <c r="W11" s="3"/>
      <c r="X11" s="3"/>
      <c r="Y11" s="3"/>
      <c r="Z11" s="3"/>
    </row>
    <row r="12" spans="1:26" ht="22" customHeight="1">
      <c r="A12" s="3"/>
      <c r="B12" s="3"/>
      <c r="C12" s="1" t="s">
        <v>8</v>
      </c>
      <c r="D12" s="14">
        <f>'DCF Model'!D29</f>
        <v>-0.45361042623512993</v>
      </c>
      <c r="E12" s="3"/>
      <c r="F12" s="3"/>
      <c r="G12" s="3"/>
      <c r="H12" s="3"/>
      <c r="I12" s="3"/>
      <c r="J12" s="3"/>
      <c r="K12" s="3"/>
      <c r="L12" s="3"/>
      <c r="M12" s="3"/>
      <c r="N12" s="3"/>
      <c r="O12" s="3"/>
      <c r="P12" s="3"/>
      <c r="Q12" s="3"/>
      <c r="R12" s="3"/>
      <c r="S12" s="3"/>
      <c r="T12" s="3"/>
      <c r="U12" s="3"/>
      <c r="V12" s="3"/>
      <c r="W12" s="3"/>
      <c r="X12" s="3"/>
      <c r="Y12" s="3"/>
      <c r="Z12" s="3"/>
    </row>
    <row r="13" spans="1:26">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20" customHeight="1">
      <c r="A15" s="3"/>
      <c r="B15" s="3"/>
      <c r="C15" s="42" t="s">
        <v>9</v>
      </c>
      <c r="D15" s="42" t="s">
        <v>9</v>
      </c>
      <c r="E15" s="42" t="s">
        <v>9</v>
      </c>
      <c r="F15" s="42" t="s">
        <v>9</v>
      </c>
      <c r="G15" s="42" t="s">
        <v>9</v>
      </c>
      <c r="H15" s="42" t="s">
        <v>9</v>
      </c>
      <c r="I15" s="3"/>
      <c r="J15" s="3"/>
      <c r="K15" s="3"/>
      <c r="L15" s="3"/>
      <c r="M15" s="3"/>
      <c r="N15" s="3"/>
      <c r="O15" s="3"/>
      <c r="P15" s="3"/>
      <c r="Q15" s="3"/>
      <c r="R15" s="3"/>
      <c r="S15" s="3"/>
      <c r="T15" s="3"/>
      <c r="U15" s="3"/>
      <c r="V15" s="3"/>
      <c r="W15" s="3"/>
      <c r="X15" s="3"/>
      <c r="Y15" s="3"/>
      <c r="Z15" s="3"/>
    </row>
    <row r="16" spans="1:26">
      <c r="A16" s="3"/>
      <c r="B16" s="3"/>
      <c r="C16" s="43" t="s">
        <v>10</v>
      </c>
      <c r="D16" s="44" t="s">
        <v>10</v>
      </c>
      <c r="E16" s="44" t="s">
        <v>10</v>
      </c>
      <c r="F16" s="44" t="s">
        <v>10</v>
      </c>
      <c r="G16" s="44" t="s">
        <v>10</v>
      </c>
      <c r="H16" s="45" t="s">
        <v>10</v>
      </c>
      <c r="I16" s="3"/>
      <c r="J16" s="3"/>
      <c r="K16" s="3"/>
      <c r="L16" s="3"/>
      <c r="M16" s="3"/>
      <c r="N16" s="3"/>
      <c r="O16" s="3"/>
      <c r="P16" s="3"/>
      <c r="Q16" s="3"/>
      <c r="R16" s="3"/>
      <c r="S16" s="3"/>
      <c r="T16" s="3"/>
      <c r="U16" s="3"/>
      <c r="V16" s="3"/>
      <c r="W16" s="3"/>
      <c r="X16" s="3"/>
      <c r="Y16" s="3"/>
      <c r="Z16" s="3"/>
    </row>
    <row r="17" spans="1:26">
      <c r="A17" s="3"/>
      <c r="B17" s="3"/>
      <c r="C17" s="46" t="s">
        <v>10</v>
      </c>
      <c r="D17" s="47" t="s">
        <v>10</v>
      </c>
      <c r="E17" s="47" t="s">
        <v>10</v>
      </c>
      <c r="F17" s="47" t="s">
        <v>10</v>
      </c>
      <c r="G17" s="47" t="s">
        <v>10</v>
      </c>
      <c r="H17" s="48" t="s">
        <v>10</v>
      </c>
      <c r="I17" s="3"/>
      <c r="J17" s="3"/>
      <c r="K17" s="3"/>
      <c r="L17" s="3"/>
      <c r="M17" s="3"/>
      <c r="N17" s="3"/>
      <c r="O17" s="3"/>
      <c r="P17" s="3"/>
      <c r="Q17" s="3"/>
      <c r="R17" s="3"/>
      <c r="S17" s="3"/>
      <c r="T17" s="3"/>
      <c r="U17" s="3"/>
      <c r="V17" s="3"/>
      <c r="W17" s="3"/>
      <c r="X17" s="3"/>
      <c r="Y17" s="3"/>
      <c r="Z17" s="3"/>
    </row>
    <row r="18" spans="1:26">
      <c r="A18" s="3"/>
      <c r="B18" s="3"/>
      <c r="C18" s="46" t="s">
        <v>10</v>
      </c>
      <c r="D18" s="47" t="s">
        <v>10</v>
      </c>
      <c r="E18" s="47" t="s">
        <v>10</v>
      </c>
      <c r="F18" s="47" t="s">
        <v>10</v>
      </c>
      <c r="G18" s="47" t="s">
        <v>10</v>
      </c>
      <c r="H18" s="48" t="s">
        <v>10</v>
      </c>
      <c r="I18" s="3"/>
      <c r="J18" s="3"/>
      <c r="K18" s="3"/>
      <c r="L18" s="3"/>
      <c r="M18" s="3"/>
      <c r="N18" s="3"/>
      <c r="O18" s="3"/>
      <c r="P18" s="3"/>
      <c r="Q18" s="3"/>
      <c r="R18" s="3"/>
      <c r="S18" s="3"/>
      <c r="T18" s="3"/>
      <c r="U18" s="3"/>
      <c r="V18" s="3"/>
      <c r="W18" s="3"/>
      <c r="X18" s="3"/>
      <c r="Y18" s="3"/>
      <c r="Z18" s="3"/>
    </row>
    <row r="19" spans="1:26">
      <c r="A19" s="3"/>
      <c r="B19" s="3"/>
      <c r="C19" s="49" t="s">
        <v>10</v>
      </c>
      <c r="D19" s="50" t="s">
        <v>10</v>
      </c>
      <c r="E19" s="50" t="s">
        <v>10</v>
      </c>
      <c r="F19" s="50" t="s">
        <v>10</v>
      </c>
      <c r="G19" s="50" t="s">
        <v>10</v>
      </c>
      <c r="H19" s="51" t="s">
        <v>10</v>
      </c>
      <c r="I19" s="3"/>
      <c r="J19" s="3"/>
      <c r="K19" s="3"/>
      <c r="L19" s="3"/>
      <c r="M19" s="3"/>
      <c r="N19" s="3"/>
      <c r="O19" s="3"/>
      <c r="P19" s="3"/>
      <c r="Q19" s="3"/>
      <c r="R19" s="3"/>
      <c r="S19" s="3"/>
      <c r="T19" s="3"/>
      <c r="U19" s="3"/>
      <c r="V19" s="3"/>
      <c r="W19" s="3"/>
      <c r="X19" s="3"/>
      <c r="Y19" s="3"/>
      <c r="Z19" s="3"/>
    </row>
    <row r="20" spans="1:26">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sheetData>
  <mergeCells count="5">
    <mergeCell ref="C2:I2"/>
    <mergeCell ref="C3:I3"/>
    <mergeCell ref="C6:H6"/>
    <mergeCell ref="C15:H15"/>
    <mergeCell ref="C16:H19"/>
  </mergeCells>
  <conditionalFormatting sqref="D12">
    <cfRule type="cellIs" dxfId="3" priority="1" operator="lessThan">
      <formula>0</formula>
    </cfRule>
    <cfRule type="cellIs" dxfId="2" priority="2" operator="greaterThanOrEqual">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9BD5"/>
  </sheetPr>
  <dimension ref="A1:Z80"/>
  <sheetViews>
    <sheetView workbookViewId="0">
      <pane ySplit="4" topLeftCell="A5" activePane="bottomLeft" state="frozen"/>
      <selection pane="bottomLeft" activeCell="M18" sqref="M18"/>
    </sheetView>
  </sheetViews>
  <sheetFormatPr baseColWidth="10" defaultColWidth="8.83203125" defaultRowHeight="14"/>
  <cols>
    <col min="1" max="2" width="2.33203125" customWidth="1"/>
    <col min="3" max="3" width="31" customWidth="1"/>
    <col min="5" max="5" width="46"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ht="24" customHeight="1">
      <c r="A2" s="3"/>
      <c r="B2" s="3"/>
      <c r="C2" s="39" t="s">
        <v>11</v>
      </c>
      <c r="D2" s="40"/>
      <c r="E2" s="40"/>
      <c r="F2" s="40"/>
      <c r="G2" s="40"/>
      <c r="H2" s="40"/>
      <c r="I2" s="40"/>
      <c r="J2" s="3"/>
      <c r="K2" s="3"/>
      <c r="L2" s="3"/>
      <c r="M2" s="3"/>
      <c r="N2" s="3"/>
      <c r="O2" s="3"/>
      <c r="P2" s="3"/>
      <c r="Q2" s="3"/>
      <c r="R2" s="3"/>
      <c r="S2" s="3"/>
      <c r="T2" s="3"/>
      <c r="U2" s="3"/>
      <c r="V2" s="3"/>
      <c r="W2" s="3"/>
      <c r="X2" s="3"/>
      <c r="Y2" s="3"/>
      <c r="Z2" s="3"/>
    </row>
    <row r="3" spans="1:26">
      <c r="A3" s="3"/>
      <c r="B3" s="3"/>
      <c r="C3" s="41" t="s">
        <v>12</v>
      </c>
      <c r="D3" s="40"/>
      <c r="E3" s="40"/>
      <c r="F3" s="40"/>
      <c r="G3" s="40"/>
      <c r="H3" s="40"/>
      <c r="I3" s="40"/>
      <c r="J3" s="3"/>
      <c r="K3" s="3"/>
      <c r="L3" s="3"/>
      <c r="M3" s="3"/>
      <c r="N3" s="3"/>
      <c r="O3" s="3"/>
      <c r="P3" s="3"/>
      <c r="Q3" s="3"/>
      <c r="R3" s="3"/>
      <c r="S3" s="3"/>
      <c r="T3" s="3"/>
      <c r="U3" s="3"/>
      <c r="V3" s="3"/>
      <c r="W3" s="3"/>
      <c r="X3" s="3"/>
      <c r="Y3" s="3"/>
      <c r="Z3" s="3"/>
    </row>
    <row r="4" spans="1:26">
      <c r="A4" s="3"/>
      <c r="B4" s="3"/>
      <c r="C4" s="11"/>
      <c r="D4" s="11"/>
      <c r="E4" s="11"/>
      <c r="F4" s="11"/>
      <c r="G4" s="11"/>
      <c r="H4" s="11"/>
      <c r="I4" s="11"/>
      <c r="J4" s="3"/>
      <c r="K4" s="3"/>
      <c r="L4" s="3"/>
      <c r="M4" s="3"/>
      <c r="N4" s="3"/>
      <c r="O4" s="3"/>
      <c r="P4" s="3"/>
      <c r="Q4" s="3"/>
      <c r="R4" s="3"/>
      <c r="S4" s="3"/>
      <c r="T4" s="3"/>
      <c r="U4" s="3"/>
      <c r="V4" s="3"/>
      <c r="W4" s="3"/>
      <c r="X4" s="3"/>
      <c r="Y4" s="3"/>
      <c r="Z4" s="3"/>
    </row>
    <row r="5" spans="1:26">
      <c r="A5" s="3"/>
      <c r="B5" s="3"/>
      <c r="C5" s="3"/>
      <c r="D5" s="3"/>
      <c r="E5" s="3"/>
      <c r="F5" s="3"/>
      <c r="G5" s="3"/>
      <c r="H5" s="3"/>
      <c r="I5" s="3"/>
      <c r="J5" s="3"/>
      <c r="K5" s="3"/>
      <c r="L5" s="3"/>
      <c r="M5" s="3"/>
      <c r="N5" s="3"/>
      <c r="O5" s="3"/>
      <c r="P5" s="3"/>
      <c r="Q5" s="3"/>
      <c r="R5" s="3"/>
      <c r="S5" s="3"/>
      <c r="T5" s="3"/>
      <c r="U5" s="3"/>
      <c r="V5" s="3"/>
      <c r="W5" s="3"/>
      <c r="X5" s="3"/>
      <c r="Y5" s="3"/>
      <c r="Z5" s="3"/>
    </row>
    <row r="6" spans="1:26" ht="20" customHeight="1">
      <c r="A6" s="3"/>
      <c r="B6" s="3"/>
      <c r="C6" s="42" t="s">
        <v>13</v>
      </c>
      <c r="D6" s="42" t="s">
        <v>13</v>
      </c>
      <c r="E6" s="42" t="s">
        <v>13</v>
      </c>
      <c r="F6" s="42" t="s">
        <v>13</v>
      </c>
      <c r="G6" s="42" t="s">
        <v>13</v>
      </c>
      <c r="H6" s="42" t="s">
        <v>13</v>
      </c>
      <c r="I6" s="3"/>
      <c r="J6" s="3"/>
      <c r="K6" s="3"/>
      <c r="L6" s="3"/>
      <c r="M6" s="3"/>
      <c r="N6" s="3"/>
      <c r="O6" s="3"/>
      <c r="P6" s="3"/>
      <c r="Q6" s="3"/>
      <c r="R6" s="3"/>
      <c r="S6" s="3"/>
      <c r="T6" s="3"/>
      <c r="U6" s="3"/>
      <c r="V6" s="3"/>
      <c r="W6" s="3"/>
      <c r="X6" s="3"/>
      <c r="Y6" s="3"/>
      <c r="Z6" s="3"/>
    </row>
    <row r="7" spans="1:26">
      <c r="A7" s="3"/>
      <c r="B7" s="3"/>
      <c r="C7" s="2" t="s">
        <v>14</v>
      </c>
      <c r="D7" s="2" t="s">
        <v>15</v>
      </c>
      <c r="E7" s="2" t="s">
        <v>16</v>
      </c>
      <c r="F7" s="3"/>
      <c r="G7" s="3"/>
      <c r="H7" s="3"/>
      <c r="I7" s="3"/>
      <c r="J7" s="3"/>
      <c r="K7" s="3"/>
      <c r="L7" s="3"/>
      <c r="M7" s="3"/>
      <c r="N7" s="3"/>
      <c r="O7" s="3"/>
      <c r="P7" s="3"/>
      <c r="Q7" s="3"/>
      <c r="R7" s="3"/>
      <c r="S7" s="3"/>
      <c r="T7" s="3"/>
      <c r="U7" s="3"/>
      <c r="V7" s="3"/>
      <c r="W7" s="3"/>
      <c r="X7" s="3"/>
      <c r="Y7" s="3"/>
      <c r="Z7" s="3"/>
    </row>
    <row r="8" spans="1:26">
      <c r="A8" s="3"/>
      <c r="B8" s="3"/>
      <c r="C8" s="5" t="s">
        <v>17</v>
      </c>
      <c r="D8" s="4">
        <v>12</v>
      </c>
      <c r="E8" s="5" t="s">
        <v>18</v>
      </c>
      <c r="F8" s="3"/>
      <c r="G8" s="3"/>
      <c r="H8" s="3"/>
      <c r="I8" s="3"/>
      <c r="J8" s="3"/>
      <c r="K8" s="3"/>
      <c r="L8" s="3"/>
      <c r="M8" s="3"/>
      <c r="N8" s="3"/>
      <c r="O8" s="3"/>
      <c r="P8" s="3"/>
      <c r="Q8" s="3"/>
      <c r="R8" s="3"/>
      <c r="S8" s="3"/>
      <c r="T8" s="3"/>
      <c r="U8" s="3"/>
      <c r="V8" s="3"/>
      <c r="W8" s="3"/>
      <c r="X8" s="3"/>
      <c r="Y8" s="3"/>
      <c r="Z8" s="3"/>
    </row>
    <row r="9" spans="1:26">
      <c r="A9" s="3"/>
      <c r="B9" s="3"/>
      <c r="C9" s="5" t="s">
        <v>6</v>
      </c>
      <c r="D9" s="6">
        <v>5600</v>
      </c>
      <c r="E9" s="5" t="s">
        <v>19</v>
      </c>
      <c r="F9" s="3"/>
      <c r="G9" s="3"/>
      <c r="H9" s="3"/>
      <c r="I9" s="3"/>
      <c r="J9" s="3"/>
      <c r="K9" s="3"/>
      <c r="L9" s="3"/>
      <c r="M9" s="3"/>
      <c r="N9" s="3"/>
      <c r="O9" s="3"/>
      <c r="P9" s="3"/>
      <c r="Q9" s="3"/>
      <c r="R9" s="3"/>
      <c r="S9" s="3"/>
      <c r="T9" s="3"/>
      <c r="U9" s="3"/>
      <c r="V9" s="3"/>
      <c r="W9" s="3"/>
      <c r="X9" s="3"/>
      <c r="Y9" s="3"/>
      <c r="Z9" s="3"/>
    </row>
    <row r="10" spans="1:26">
      <c r="A10" s="3"/>
      <c r="B10" s="3"/>
      <c r="C10" s="5" t="s">
        <v>4</v>
      </c>
      <c r="D10" s="6">
        <v>6944</v>
      </c>
      <c r="E10" s="5" t="s">
        <v>20</v>
      </c>
      <c r="F10" s="3"/>
      <c r="G10" s="3"/>
      <c r="H10" s="3"/>
      <c r="I10" s="3"/>
      <c r="J10" s="3"/>
      <c r="K10" s="3"/>
      <c r="L10" s="3"/>
      <c r="M10" s="3"/>
      <c r="N10" s="3"/>
      <c r="O10" s="3"/>
      <c r="P10" s="3"/>
      <c r="Q10" s="3"/>
      <c r="R10" s="3"/>
      <c r="S10" s="3"/>
      <c r="T10" s="3"/>
      <c r="U10" s="3"/>
      <c r="V10" s="3"/>
      <c r="W10" s="3"/>
      <c r="X10" s="3"/>
      <c r="Y10" s="3"/>
      <c r="Z10" s="3"/>
    </row>
    <row r="11" spans="1:26">
      <c r="A11" s="3"/>
      <c r="B11" s="3"/>
      <c r="C11" s="5" t="s">
        <v>21</v>
      </c>
      <c r="D11" s="6">
        <v>19220</v>
      </c>
      <c r="E11" s="5" t="s">
        <v>22</v>
      </c>
      <c r="F11" s="3"/>
      <c r="G11" s="3"/>
      <c r="H11" s="3"/>
      <c r="I11" s="3"/>
      <c r="J11" s="3"/>
      <c r="K11" s="3"/>
      <c r="L11" s="3"/>
      <c r="M11" s="3"/>
      <c r="N11" s="3"/>
      <c r="O11" s="3"/>
      <c r="P11" s="3"/>
      <c r="Q11" s="3"/>
      <c r="R11" s="3"/>
      <c r="S11" s="3"/>
      <c r="T11" s="3"/>
      <c r="U11" s="3"/>
      <c r="V11" s="3"/>
      <c r="W11" s="3"/>
      <c r="X11" s="3"/>
      <c r="Y11" s="3"/>
      <c r="Z11" s="3"/>
    </row>
    <row r="12" spans="1:26">
      <c r="A12" s="3"/>
      <c r="B12" s="3"/>
      <c r="C12" s="5" t="s">
        <v>23</v>
      </c>
      <c r="D12" s="7">
        <v>0.1</v>
      </c>
      <c r="E12" s="5" t="s">
        <v>22</v>
      </c>
      <c r="F12" s="3"/>
      <c r="G12" s="3"/>
      <c r="H12" s="3"/>
      <c r="I12" s="3"/>
      <c r="J12" s="3"/>
      <c r="K12" s="3"/>
      <c r="L12" s="3"/>
      <c r="M12" s="3"/>
      <c r="N12" s="3"/>
      <c r="O12" s="3"/>
      <c r="P12" s="3"/>
      <c r="Q12" s="3"/>
      <c r="R12" s="3"/>
      <c r="S12" s="3"/>
      <c r="T12" s="3"/>
      <c r="U12" s="3"/>
      <c r="V12" s="3"/>
      <c r="W12" s="3"/>
      <c r="X12" s="3"/>
      <c r="Y12" s="3"/>
      <c r="Z12" s="3"/>
    </row>
    <row r="13" spans="1:26">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20" customHeight="1">
      <c r="A15" s="3"/>
      <c r="B15" s="3"/>
      <c r="C15" s="42" t="s">
        <v>24</v>
      </c>
      <c r="D15" s="42" t="s">
        <v>24</v>
      </c>
      <c r="E15" s="42" t="s">
        <v>24</v>
      </c>
      <c r="F15" s="42" t="s">
        <v>24</v>
      </c>
      <c r="G15" s="42" t="s">
        <v>24</v>
      </c>
      <c r="H15" s="42" t="s">
        <v>24</v>
      </c>
      <c r="I15" s="42" t="s">
        <v>24</v>
      </c>
      <c r="J15" s="3"/>
      <c r="K15" s="3"/>
      <c r="L15" s="3"/>
      <c r="M15" s="3"/>
      <c r="N15" s="3"/>
      <c r="O15" s="3"/>
      <c r="P15" s="3"/>
      <c r="Q15" s="3"/>
      <c r="R15" s="3"/>
      <c r="S15" s="3"/>
      <c r="T15" s="3"/>
      <c r="U15" s="3"/>
      <c r="V15" s="3"/>
      <c r="W15" s="3"/>
      <c r="X15" s="3"/>
      <c r="Y15" s="3"/>
      <c r="Z15" s="3"/>
    </row>
    <row r="16" spans="1:26">
      <c r="A16" s="3"/>
      <c r="B16" s="3"/>
      <c r="C16" s="2" t="s">
        <v>25</v>
      </c>
      <c r="D16" s="2" t="s">
        <v>26</v>
      </c>
      <c r="E16" s="2" t="s">
        <v>27</v>
      </c>
      <c r="F16" s="2" t="s">
        <v>28</v>
      </c>
      <c r="G16" s="2" t="s">
        <v>29</v>
      </c>
      <c r="H16" s="2" t="s">
        <v>30</v>
      </c>
      <c r="I16" s="2" t="s">
        <v>31</v>
      </c>
      <c r="J16" s="3"/>
      <c r="K16" s="3"/>
      <c r="L16" s="3"/>
      <c r="M16" s="3"/>
      <c r="N16" s="3"/>
      <c r="O16" s="3"/>
      <c r="P16" s="3"/>
      <c r="Q16" s="3"/>
      <c r="R16" s="3"/>
      <c r="S16" s="3"/>
      <c r="T16" s="3"/>
      <c r="U16" s="3"/>
      <c r="V16" s="3"/>
      <c r="W16" s="3"/>
      <c r="X16" s="3"/>
      <c r="Y16" s="3"/>
      <c r="Z16" s="3"/>
    </row>
    <row r="17" spans="1:26">
      <c r="A17" s="3"/>
      <c r="B17" s="3"/>
      <c r="C17" s="5" t="s">
        <v>32</v>
      </c>
      <c r="D17" s="7"/>
      <c r="E17" s="7">
        <v>0.03</v>
      </c>
      <c r="F17" s="7">
        <v>3.5000000000000003E-2</v>
      </c>
      <c r="G17" s="7">
        <v>0.04</v>
      </c>
      <c r="H17" s="7">
        <v>0.04</v>
      </c>
      <c r="I17" s="7">
        <v>3.5000000000000003E-2</v>
      </c>
      <c r="J17" s="3"/>
      <c r="K17" s="3"/>
      <c r="L17" s="3"/>
      <c r="M17" s="3"/>
      <c r="N17" s="3"/>
      <c r="O17" s="3"/>
      <c r="P17" s="3"/>
      <c r="Q17" s="3"/>
      <c r="R17" s="3"/>
      <c r="S17" s="3"/>
      <c r="T17" s="3"/>
      <c r="U17" s="3"/>
      <c r="V17" s="3"/>
      <c r="W17" s="3"/>
      <c r="X17" s="3"/>
      <c r="Y17" s="3"/>
      <c r="Z17" s="3"/>
    </row>
    <row r="18" spans="1:26">
      <c r="A18" s="3"/>
      <c r="B18" s="3"/>
      <c r="C18" s="5" t="s">
        <v>33</v>
      </c>
      <c r="D18" s="7">
        <v>0.1</v>
      </c>
      <c r="E18" s="7">
        <v>0.105</v>
      </c>
      <c r="F18" s="7">
        <v>0.11</v>
      </c>
      <c r="G18" s="7">
        <v>0.115</v>
      </c>
      <c r="H18" s="7">
        <v>0.11799999999999999</v>
      </c>
      <c r="I18" s="7">
        <v>0.12</v>
      </c>
      <c r="J18" s="3"/>
      <c r="K18" s="3"/>
      <c r="L18" s="3"/>
      <c r="M18" s="3"/>
      <c r="N18" s="3"/>
      <c r="O18" s="3"/>
      <c r="P18" s="3"/>
      <c r="Q18" s="3"/>
      <c r="R18" s="3"/>
      <c r="S18" s="3"/>
      <c r="T18" s="3"/>
      <c r="U18" s="3"/>
      <c r="V18" s="3"/>
      <c r="W18" s="3"/>
      <c r="X18" s="3"/>
      <c r="Y18" s="3"/>
      <c r="Z18" s="3"/>
    </row>
    <row r="19" spans="1:26">
      <c r="A19" s="3"/>
      <c r="B19" s="3"/>
      <c r="C19" s="5" t="s">
        <v>34</v>
      </c>
      <c r="D19" s="7">
        <v>0.03</v>
      </c>
      <c r="E19" s="7">
        <v>0.03</v>
      </c>
      <c r="F19" s="7">
        <v>0.03</v>
      </c>
      <c r="G19" s="7">
        <v>0.03</v>
      </c>
      <c r="H19" s="7">
        <v>0.03</v>
      </c>
      <c r="I19" s="7">
        <v>0.03</v>
      </c>
      <c r="J19" s="3"/>
      <c r="K19" s="3"/>
      <c r="L19" s="3"/>
      <c r="M19" s="3"/>
      <c r="N19" s="3"/>
      <c r="O19" s="3"/>
      <c r="P19" s="3"/>
      <c r="Q19" s="3"/>
      <c r="R19" s="3"/>
      <c r="S19" s="3"/>
      <c r="T19" s="3"/>
      <c r="U19" s="3"/>
      <c r="V19" s="3"/>
      <c r="W19" s="3"/>
      <c r="X19" s="3"/>
      <c r="Y19" s="3"/>
      <c r="Z19" s="3"/>
    </row>
    <row r="20" spans="1:26">
      <c r="A20" s="3"/>
      <c r="B20" s="3"/>
      <c r="C20" s="5" t="s">
        <v>35</v>
      </c>
      <c r="D20" s="7">
        <v>3.2000000000000001E-2</v>
      </c>
      <c r="E20" s="7">
        <v>3.2000000000000001E-2</v>
      </c>
      <c r="F20" s="7">
        <v>3.2000000000000001E-2</v>
      </c>
      <c r="G20" s="7">
        <v>3.2000000000000001E-2</v>
      </c>
      <c r="H20" s="7">
        <v>3.2000000000000001E-2</v>
      </c>
      <c r="I20" s="7">
        <v>3.2000000000000001E-2</v>
      </c>
      <c r="J20" s="3"/>
      <c r="K20" s="3"/>
      <c r="L20" s="3"/>
      <c r="M20" s="3"/>
      <c r="N20" s="3"/>
      <c r="O20" s="3"/>
      <c r="P20" s="3"/>
      <c r="Q20" s="3"/>
      <c r="R20" s="3"/>
      <c r="S20" s="3"/>
      <c r="T20" s="3"/>
      <c r="U20" s="3"/>
      <c r="V20" s="3"/>
      <c r="W20" s="3"/>
      <c r="X20" s="3"/>
      <c r="Y20" s="3"/>
      <c r="Z20" s="3"/>
    </row>
    <row r="21" spans="1:26">
      <c r="A21" s="3"/>
      <c r="B21" s="3"/>
      <c r="C21" s="5" t="s">
        <v>36</v>
      </c>
      <c r="D21" s="7">
        <v>5.0000000000000001E-3</v>
      </c>
      <c r="E21" s="7">
        <v>5.0000000000000001E-3</v>
      </c>
      <c r="F21" s="7">
        <v>5.0000000000000001E-3</v>
      </c>
      <c r="G21" s="7">
        <v>5.0000000000000001E-3</v>
      </c>
      <c r="H21" s="7">
        <v>5.0000000000000001E-3</v>
      </c>
      <c r="I21" s="7">
        <v>5.0000000000000001E-3</v>
      </c>
      <c r="J21" s="3"/>
      <c r="K21" s="3"/>
      <c r="L21" s="3"/>
      <c r="M21" s="3"/>
      <c r="N21" s="3"/>
      <c r="O21" s="3"/>
      <c r="P21" s="3"/>
      <c r="Q21" s="3"/>
      <c r="R21" s="3"/>
      <c r="S21" s="3"/>
      <c r="T21" s="3"/>
      <c r="U21" s="3"/>
      <c r="V21" s="3"/>
      <c r="W21" s="3"/>
      <c r="X21" s="3"/>
      <c r="Y21" s="3"/>
      <c r="Z21" s="3"/>
    </row>
    <row r="22" spans="1:26">
      <c r="A22" s="3"/>
      <c r="B22" s="3"/>
      <c r="C22" s="5" t="s">
        <v>37</v>
      </c>
      <c r="D22" s="7">
        <v>0.21</v>
      </c>
      <c r="E22" s="7">
        <v>0.21</v>
      </c>
      <c r="F22" s="7">
        <v>0.21</v>
      </c>
      <c r="G22" s="7">
        <v>0.21</v>
      </c>
      <c r="H22" s="7">
        <v>0.21</v>
      </c>
      <c r="I22" s="7">
        <v>0.21</v>
      </c>
      <c r="J22" s="3"/>
      <c r="K22" s="3"/>
      <c r="L22" s="3"/>
      <c r="M22" s="3"/>
      <c r="N22" s="3"/>
      <c r="O22" s="3"/>
      <c r="P22" s="3"/>
      <c r="Q22" s="3"/>
      <c r="R22" s="3"/>
      <c r="S22" s="3"/>
      <c r="T22" s="3"/>
      <c r="U22" s="3"/>
      <c r="V22" s="3"/>
      <c r="W22" s="3"/>
      <c r="X22" s="3"/>
      <c r="Y22" s="3"/>
      <c r="Z22" s="3"/>
    </row>
    <row r="23" spans="1:26">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20" customHeight="1">
      <c r="A25" s="3"/>
      <c r="B25" s="3"/>
      <c r="C25" s="42" t="s">
        <v>38</v>
      </c>
      <c r="D25" s="42" t="s">
        <v>38</v>
      </c>
      <c r="E25" s="42" t="s">
        <v>38</v>
      </c>
      <c r="F25" s="3"/>
      <c r="G25" s="3"/>
      <c r="H25" s="3"/>
      <c r="I25" s="3"/>
      <c r="J25" s="3"/>
      <c r="K25" s="3"/>
      <c r="L25" s="3"/>
      <c r="M25" s="3"/>
      <c r="N25" s="3"/>
      <c r="O25" s="3"/>
      <c r="P25" s="3"/>
      <c r="Q25" s="3"/>
      <c r="R25" s="3"/>
      <c r="S25" s="3"/>
      <c r="T25" s="3"/>
      <c r="U25" s="3"/>
      <c r="V25" s="3"/>
      <c r="W25" s="3"/>
      <c r="X25" s="3"/>
      <c r="Y25" s="3"/>
      <c r="Z25" s="3"/>
    </row>
    <row r="26" spans="1:26">
      <c r="A26" s="3"/>
      <c r="B26" s="3"/>
      <c r="C26" s="2" t="s">
        <v>14</v>
      </c>
      <c r="D26" s="2" t="s">
        <v>15</v>
      </c>
      <c r="E26" s="2" t="s">
        <v>39</v>
      </c>
      <c r="F26" s="3"/>
      <c r="G26" s="3"/>
      <c r="H26" s="3"/>
      <c r="I26" s="3"/>
      <c r="J26" s="3"/>
      <c r="K26" s="3"/>
      <c r="L26" s="3"/>
      <c r="M26" s="3"/>
      <c r="N26" s="3"/>
      <c r="O26" s="3"/>
      <c r="P26" s="3"/>
      <c r="Q26" s="3"/>
      <c r="R26" s="3"/>
      <c r="S26" s="3"/>
      <c r="T26" s="3"/>
      <c r="U26" s="3"/>
      <c r="V26" s="3"/>
      <c r="W26" s="3"/>
      <c r="X26" s="3"/>
      <c r="Y26" s="3"/>
      <c r="Z26" s="3"/>
    </row>
    <row r="27" spans="1:26">
      <c r="A27" s="3"/>
      <c r="B27" s="3"/>
      <c r="C27" s="5" t="s">
        <v>40</v>
      </c>
      <c r="D27" s="7">
        <v>8.5000000000000006E-2</v>
      </c>
      <c r="E27" s="5" t="s">
        <v>41</v>
      </c>
      <c r="F27" s="3"/>
      <c r="G27" s="3"/>
      <c r="H27" s="3"/>
      <c r="I27" s="3"/>
      <c r="J27" s="3"/>
      <c r="K27" s="3"/>
      <c r="L27" s="3"/>
      <c r="M27" s="3"/>
      <c r="N27" s="3"/>
      <c r="O27" s="3"/>
      <c r="P27" s="3"/>
      <c r="Q27" s="3"/>
      <c r="R27" s="3"/>
      <c r="S27" s="3"/>
      <c r="T27" s="3"/>
      <c r="U27" s="3"/>
      <c r="V27" s="3"/>
      <c r="W27" s="3"/>
      <c r="X27" s="3"/>
      <c r="Y27" s="3"/>
      <c r="Z27" s="3"/>
    </row>
    <row r="28" spans="1:26">
      <c r="A28" s="3"/>
      <c r="B28" s="3"/>
      <c r="C28" s="5" t="s">
        <v>42</v>
      </c>
      <c r="D28" s="7">
        <v>2.5000000000000001E-2</v>
      </c>
      <c r="E28" s="5" t="s">
        <v>43</v>
      </c>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20" customHeight="1">
      <c r="A31" s="3"/>
      <c r="B31" s="3"/>
      <c r="C31" s="42" t="s">
        <v>44</v>
      </c>
      <c r="D31" s="42" t="s">
        <v>44</v>
      </c>
      <c r="E31" s="42" t="s">
        <v>44</v>
      </c>
      <c r="F31" s="42" t="s">
        <v>44</v>
      </c>
      <c r="G31" s="42" t="s">
        <v>44</v>
      </c>
      <c r="H31" s="42" t="s">
        <v>44</v>
      </c>
      <c r="I31" s="42" t="s">
        <v>44</v>
      </c>
      <c r="J31" s="3"/>
      <c r="K31" s="3"/>
      <c r="L31" s="3"/>
      <c r="M31" s="3"/>
      <c r="N31" s="3"/>
      <c r="O31" s="3"/>
      <c r="P31" s="3"/>
      <c r="Q31" s="3"/>
      <c r="R31" s="3"/>
      <c r="S31" s="3"/>
      <c r="T31" s="3"/>
      <c r="U31" s="3"/>
      <c r="V31" s="3"/>
      <c r="W31" s="3"/>
      <c r="X31" s="3"/>
      <c r="Y31" s="3"/>
      <c r="Z31" s="3"/>
    </row>
    <row r="32" spans="1:26">
      <c r="A32" s="3"/>
      <c r="B32" s="3"/>
      <c r="C32" s="43" t="s">
        <v>45</v>
      </c>
      <c r="D32" s="44" t="s">
        <v>45</v>
      </c>
      <c r="E32" s="44" t="s">
        <v>45</v>
      </c>
      <c r="F32" s="44" t="s">
        <v>45</v>
      </c>
      <c r="G32" s="44" t="s">
        <v>45</v>
      </c>
      <c r="H32" s="44" t="s">
        <v>45</v>
      </c>
      <c r="I32" s="45" t="s">
        <v>45</v>
      </c>
      <c r="J32" s="3"/>
      <c r="K32" s="3"/>
      <c r="L32" s="3"/>
      <c r="M32" s="3"/>
      <c r="N32" s="3"/>
      <c r="O32" s="3"/>
      <c r="P32" s="3"/>
      <c r="Q32" s="3"/>
      <c r="R32" s="3"/>
      <c r="S32" s="3"/>
      <c r="T32" s="3"/>
      <c r="U32" s="3"/>
      <c r="V32" s="3"/>
      <c r="W32" s="3"/>
      <c r="X32" s="3"/>
      <c r="Y32" s="3"/>
      <c r="Z32" s="3"/>
    </row>
    <row r="33" spans="1:26">
      <c r="A33" s="3"/>
      <c r="B33" s="3"/>
      <c r="C33" s="46" t="s">
        <v>45</v>
      </c>
      <c r="D33" s="47" t="s">
        <v>45</v>
      </c>
      <c r="E33" s="47" t="s">
        <v>45</v>
      </c>
      <c r="F33" s="47" t="s">
        <v>45</v>
      </c>
      <c r="G33" s="47" t="s">
        <v>45</v>
      </c>
      <c r="H33" s="47" t="s">
        <v>45</v>
      </c>
      <c r="I33" s="48" t="s">
        <v>45</v>
      </c>
      <c r="J33" s="3"/>
      <c r="K33" s="3"/>
      <c r="L33" s="3"/>
      <c r="M33" s="3"/>
      <c r="N33" s="3"/>
      <c r="O33" s="3"/>
      <c r="P33" s="3"/>
      <c r="Q33" s="3"/>
      <c r="R33" s="3"/>
      <c r="S33" s="3"/>
      <c r="T33" s="3"/>
      <c r="U33" s="3"/>
      <c r="V33" s="3"/>
      <c r="W33" s="3"/>
      <c r="X33" s="3"/>
      <c r="Y33" s="3"/>
      <c r="Z33" s="3"/>
    </row>
    <row r="34" spans="1:26">
      <c r="A34" s="3"/>
      <c r="B34" s="3"/>
      <c r="C34" s="46" t="s">
        <v>45</v>
      </c>
      <c r="D34" s="47" t="s">
        <v>45</v>
      </c>
      <c r="E34" s="47" t="s">
        <v>45</v>
      </c>
      <c r="F34" s="47" t="s">
        <v>45</v>
      </c>
      <c r="G34" s="47" t="s">
        <v>45</v>
      </c>
      <c r="H34" s="47" t="s">
        <v>45</v>
      </c>
      <c r="I34" s="48" t="s">
        <v>45</v>
      </c>
      <c r="J34" s="3"/>
      <c r="K34" s="3"/>
      <c r="L34" s="3"/>
      <c r="M34" s="3"/>
      <c r="N34" s="3"/>
      <c r="O34" s="3"/>
      <c r="P34" s="3"/>
      <c r="Q34" s="3"/>
      <c r="R34" s="3"/>
      <c r="S34" s="3"/>
      <c r="T34" s="3"/>
      <c r="U34" s="3"/>
      <c r="V34" s="3"/>
      <c r="W34" s="3"/>
      <c r="X34" s="3"/>
      <c r="Y34" s="3"/>
      <c r="Z34" s="3"/>
    </row>
    <row r="35" spans="1:26">
      <c r="A35" s="3"/>
      <c r="B35" s="3"/>
      <c r="C35" s="46" t="s">
        <v>45</v>
      </c>
      <c r="D35" s="47" t="s">
        <v>45</v>
      </c>
      <c r="E35" s="47" t="s">
        <v>45</v>
      </c>
      <c r="F35" s="47" t="s">
        <v>45</v>
      </c>
      <c r="G35" s="47" t="s">
        <v>45</v>
      </c>
      <c r="H35" s="47" t="s">
        <v>45</v>
      </c>
      <c r="I35" s="48" t="s">
        <v>45</v>
      </c>
      <c r="J35" s="3"/>
      <c r="K35" s="3"/>
      <c r="L35" s="3"/>
      <c r="M35" s="3"/>
      <c r="N35" s="3"/>
      <c r="O35" s="3"/>
      <c r="P35" s="3"/>
      <c r="Q35" s="3"/>
      <c r="R35" s="3"/>
      <c r="S35" s="3"/>
      <c r="T35" s="3"/>
      <c r="U35" s="3"/>
      <c r="V35" s="3"/>
      <c r="W35" s="3"/>
      <c r="X35" s="3"/>
      <c r="Y35" s="3"/>
      <c r="Z35" s="3"/>
    </row>
    <row r="36" spans="1:26">
      <c r="A36" s="3"/>
      <c r="B36" s="3"/>
      <c r="C36" s="49" t="s">
        <v>45</v>
      </c>
      <c r="D36" s="50" t="s">
        <v>45</v>
      </c>
      <c r="E36" s="50" t="s">
        <v>45</v>
      </c>
      <c r="F36" s="50" t="s">
        <v>45</v>
      </c>
      <c r="G36" s="50" t="s">
        <v>45</v>
      </c>
      <c r="H36" s="50" t="s">
        <v>45</v>
      </c>
      <c r="I36" s="51" t="s">
        <v>45</v>
      </c>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sheetData>
  <mergeCells count="7">
    <mergeCell ref="C31:I31"/>
    <mergeCell ref="C32:I36"/>
    <mergeCell ref="C2:I2"/>
    <mergeCell ref="C3:I3"/>
    <mergeCell ref="C6:H6"/>
    <mergeCell ref="C15:I15"/>
    <mergeCell ref="C25:E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Z80"/>
  <sheetViews>
    <sheetView workbookViewId="0">
      <pane xSplit="3" ySplit="6" topLeftCell="D7" activePane="bottomRight" state="frozen"/>
      <selection pane="topRight"/>
      <selection pane="bottomLeft"/>
      <selection pane="bottomRight" activeCell="D7" sqref="D7"/>
    </sheetView>
  </sheetViews>
  <sheetFormatPr baseColWidth="10" defaultColWidth="8.83203125" defaultRowHeight="14"/>
  <cols>
    <col min="1" max="2" width="2.33203125" customWidth="1"/>
    <col min="3" max="3" width="31" customWidth="1"/>
    <col min="4" max="9" width="13"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ht="24" customHeight="1">
      <c r="A2" s="3"/>
      <c r="B2" s="3"/>
      <c r="C2" s="39" t="s">
        <v>46</v>
      </c>
      <c r="D2" s="40"/>
      <c r="E2" s="40"/>
      <c r="F2" s="40"/>
      <c r="G2" s="40"/>
      <c r="H2" s="40"/>
      <c r="I2" s="40"/>
      <c r="J2" s="3"/>
      <c r="K2" s="3"/>
      <c r="L2" s="3"/>
      <c r="M2" s="3"/>
      <c r="N2" s="3"/>
      <c r="O2" s="3"/>
      <c r="P2" s="3"/>
      <c r="Q2" s="3"/>
      <c r="R2" s="3"/>
      <c r="S2" s="3"/>
      <c r="T2" s="3"/>
      <c r="U2" s="3"/>
      <c r="V2" s="3"/>
      <c r="W2" s="3"/>
      <c r="X2" s="3"/>
      <c r="Y2" s="3"/>
      <c r="Z2" s="3"/>
    </row>
    <row r="3" spans="1:26">
      <c r="A3" s="3"/>
      <c r="B3" s="3"/>
      <c r="C3" s="41" t="s">
        <v>47</v>
      </c>
      <c r="D3" s="40"/>
      <c r="E3" s="40"/>
      <c r="F3" s="40"/>
      <c r="G3" s="40"/>
      <c r="H3" s="40"/>
      <c r="I3" s="40"/>
      <c r="J3" s="3"/>
      <c r="K3" s="3"/>
      <c r="L3" s="3"/>
      <c r="M3" s="3"/>
      <c r="N3" s="3"/>
      <c r="O3" s="3"/>
      <c r="P3" s="3"/>
      <c r="Q3" s="3"/>
      <c r="R3" s="3"/>
      <c r="S3" s="3"/>
      <c r="T3" s="3"/>
      <c r="U3" s="3"/>
      <c r="V3" s="3"/>
      <c r="W3" s="3"/>
      <c r="X3" s="3"/>
      <c r="Y3" s="3"/>
      <c r="Z3" s="3"/>
    </row>
    <row r="4" spans="1:26">
      <c r="A4" s="3"/>
      <c r="B4" s="3"/>
      <c r="C4" s="11"/>
      <c r="D4" s="11"/>
      <c r="E4" s="11"/>
      <c r="F4" s="11"/>
      <c r="G4" s="11"/>
      <c r="H4" s="11"/>
      <c r="I4" s="11"/>
      <c r="J4" s="3"/>
      <c r="K4" s="3"/>
      <c r="L4" s="3"/>
      <c r="M4" s="3"/>
      <c r="N4" s="3"/>
      <c r="O4" s="3"/>
      <c r="P4" s="3"/>
      <c r="Q4" s="3"/>
      <c r="R4" s="3"/>
      <c r="S4" s="3"/>
      <c r="T4" s="3"/>
      <c r="U4" s="3"/>
      <c r="V4" s="3"/>
      <c r="W4" s="3"/>
      <c r="X4" s="3"/>
      <c r="Y4" s="3"/>
      <c r="Z4" s="3"/>
    </row>
    <row r="5" spans="1:26">
      <c r="A5" s="3"/>
      <c r="B5" s="3"/>
      <c r="C5" s="3"/>
      <c r="D5" s="3"/>
      <c r="E5" s="3"/>
      <c r="F5" s="3"/>
      <c r="G5" s="3"/>
      <c r="H5" s="3"/>
      <c r="I5" s="3"/>
      <c r="J5" s="3"/>
      <c r="K5" s="3"/>
      <c r="L5" s="3"/>
      <c r="M5" s="3"/>
      <c r="N5" s="3"/>
      <c r="O5" s="3"/>
      <c r="P5" s="3"/>
      <c r="Q5" s="3"/>
      <c r="R5" s="3"/>
      <c r="S5" s="3"/>
      <c r="T5" s="3"/>
      <c r="U5" s="3"/>
      <c r="V5" s="3"/>
      <c r="W5" s="3"/>
      <c r="X5" s="3"/>
      <c r="Y5" s="3"/>
      <c r="Z5" s="3"/>
    </row>
    <row r="6" spans="1:26">
      <c r="A6" s="3"/>
      <c r="B6" s="3"/>
      <c r="C6" s="9" t="s">
        <v>48</v>
      </c>
      <c r="D6" s="8" t="s">
        <v>26</v>
      </c>
      <c r="E6" s="8" t="s">
        <v>27</v>
      </c>
      <c r="F6" s="8" t="s">
        <v>28</v>
      </c>
      <c r="G6" s="8" t="s">
        <v>29</v>
      </c>
      <c r="H6" s="8" t="s">
        <v>30</v>
      </c>
      <c r="I6" s="8" t="s">
        <v>31</v>
      </c>
      <c r="J6" s="3"/>
      <c r="K6" s="3"/>
      <c r="L6" s="3"/>
      <c r="M6" s="3"/>
      <c r="N6" s="3"/>
      <c r="O6" s="3"/>
      <c r="P6" s="3"/>
      <c r="Q6" s="3"/>
      <c r="R6" s="3"/>
      <c r="S6" s="3"/>
      <c r="T6" s="3"/>
      <c r="U6" s="3"/>
      <c r="V6" s="3"/>
      <c r="W6" s="3"/>
      <c r="X6" s="3"/>
      <c r="Y6" s="3"/>
      <c r="Z6" s="3"/>
    </row>
    <row r="7" spans="1:26">
      <c r="A7" s="3"/>
      <c r="B7" s="3"/>
      <c r="C7" s="15" t="s">
        <v>49</v>
      </c>
      <c r="D7" s="16">
        <f>Assumptions!D11</f>
        <v>19220</v>
      </c>
      <c r="E7" s="16">
        <f>D7*(1+E8)</f>
        <v>19796.600000000002</v>
      </c>
      <c r="F7" s="16">
        <f>E7*(1+F8)</f>
        <v>20489.481</v>
      </c>
      <c r="G7" s="16">
        <f>F7*(1+G8)</f>
        <v>21309.060239999999</v>
      </c>
      <c r="H7" s="16">
        <f>G7*(1+H8)</f>
        <v>22161.422649600001</v>
      </c>
      <c r="I7" s="16">
        <f>H7*(1+I8)</f>
        <v>22937.072442336001</v>
      </c>
      <c r="J7" s="3"/>
      <c r="K7" s="3"/>
      <c r="L7" s="3"/>
      <c r="M7" s="3"/>
      <c r="N7" s="3"/>
      <c r="O7" s="3"/>
      <c r="P7" s="3"/>
      <c r="Q7" s="3"/>
      <c r="R7" s="3"/>
      <c r="S7" s="3"/>
      <c r="T7" s="3"/>
      <c r="U7" s="3"/>
      <c r="V7" s="3"/>
      <c r="W7" s="3"/>
      <c r="X7" s="3"/>
      <c r="Y7" s="3"/>
      <c r="Z7" s="3"/>
    </row>
    <row r="8" spans="1:26">
      <c r="A8" s="3"/>
      <c r="B8" s="3"/>
      <c r="C8" s="17" t="s">
        <v>32</v>
      </c>
      <c r="D8" s="18">
        <f>Assumptions!D17</f>
        <v>0</v>
      </c>
      <c r="E8" s="18">
        <f>Assumptions!E17</f>
        <v>0.03</v>
      </c>
      <c r="F8" s="18">
        <f>Assumptions!F17</f>
        <v>3.5000000000000003E-2</v>
      </c>
      <c r="G8" s="18">
        <f>Assumptions!G17</f>
        <v>0.04</v>
      </c>
      <c r="H8" s="18">
        <f>Assumptions!H17</f>
        <v>0.04</v>
      </c>
      <c r="I8" s="18">
        <f>Assumptions!I17</f>
        <v>3.5000000000000003E-2</v>
      </c>
      <c r="J8" s="3"/>
      <c r="K8" s="3"/>
      <c r="L8" s="3"/>
      <c r="M8" s="3"/>
      <c r="N8" s="3"/>
      <c r="O8" s="3"/>
      <c r="P8" s="3"/>
      <c r="Q8" s="3"/>
      <c r="R8" s="3"/>
      <c r="S8" s="3"/>
      <c r="T8" s="3"/>
      <c r="U8" s="3"/>
      <c r="V8" s="3"/>
      <c r="W8" s="3"/>
      <c r="X8" s="3"/>
      <c r="Y8" s="3"/>
      <c r="Z8" s="3"/>
    </row>
    <row r="9" spans="1:26">
      <c r="A9" s="3"/>
      <c r="B9" s="3"/>
      <c r="C9" s="17" t="s">
        <v>33</v>
      </c>
      <c r="D9" s="18">
        <f>Assumptions!D18</f>
        <v>0.1</v>
      </c>
      <c r="E9" s="18">
        <f>Assumptions!E18</f>
        <v>0.105</v>
      </c>
      <c r="F9" s="18">
        <f>Assumptions!F18</f>
        <v>0.11</v>
      </c>
      <c r="G9" s="18">
        <f>Assumptions!G18</f>
        <v>0.115</v>
      </c>
      <c r="H9" s="18">
        <f>Assumptions!H18</f>
        <v>0.11799999999999999</v>
      </c>
      <c r="I9" s="18">
        <f>Assumptions!I18</f>
        <v>0.12</v>
      </c>
      <c r="J9" s="3"/>
      <c r="K9" s="3"/>
      <c r="L9" s="3"/>
      <c r="M9" s="3"/>
      <c r="N9" s="3"/>
      <c r="O9" s="3"/>
      <c r="P9" s="3"/>
      <c r="Q9" s="3"/>
      <c r="R9" s="3"/>
      <c r="S9" s="3"/>
      <c r="T9" s="3"/>
      <c r="U9" s="3"/>
      <c r="V9" s="3"/>
      <c r="W9" s="3"/>
      <c r="X9" s="3"/>
      <c r="Y9" s="3"/>
      <c r="Z9" s="3"/>
    </row>
    <row r="10" spans="1:26">
      <c r="A10" s="3"/>
      <c r="B10" s="3"/>
      <c r="C10" s="19" t="s">
        <v>50</v>
      </c>
      <c r="D10" s="20">
        <f t="shared" ref="D10:I10" si="0">D7*D9</f>
        <v>1922</v>
      </c>
      <c r="E10" s="20">
        <f t="shared" si="0"/>
        <v>2078.643</v>
      </c>
      <c r="F10" s="20">
        <f t="shared" si="0"/>
        <v>2253.8429099999998</v>
      </c>
      <c r="G10" s="20">
        <f t="shared" si="0"/>
        <v>2450.5419275999998</v>
      </c>
      <c r="H10" s="20">
        <f t="shared" si="0"/>
        <v>2615.0478726527999</v>
      </c>
      <c r="I10" s="20">
        <f t="shared" si="0"/>
        <v>2752.44869308032</v>
      </c>
      <c r="J10" s="3"/>
      <c r="K10" s="3"/>
      <c r="L10" s="3"/>
      <c r="M10" s="3"/>
      <c r="N10" s="3"/>
      <c r="O10" s="3"/>
      <c r="P10" s="3"/>
      <c r="Q10" s="3"/>
      <c r="R10" s="3"/>
      <c r="S10" s="3"/>
      <c r="T10" s="3"/>
      <c r="U10" s="3"/>
      <c r="V10" s="3"/>
      <c r="W10" s="3"/>
      <c r="X10" s="3"/>
      <c r="Y10" s="3"/>
      <c r="Z10" s="3"/>
    </row>
    <row r="11" spans="1:26">
      <c r="A11" s="3"/>
      <c r="B11" s="3"/>
      <c r="C11" s="15" t="s">
        <v>51</v>
      </c>
      <c r="D11" s="21">
        <f>-D10*Assumptions!D22</f>
        <v>-403.62</v>
      </c>
      <c r="E11" s="21">
        <f>-E10*Assumptions!E22</f>
        <v>-436.51502999999997</v>
      </c>
      <c r="F11" s="21">
        <f>-F10*Assumptions!F22</f>
        <v>-473.30701109999995</v>
      </c>
      <c r="G11" s="21">
        <f>-G10*Assumptions!G22</f>
        <v>-514.61380479599995</v>
      </c>
      <c r="H11" s="21">
        <f>-H10*Assumptions!H22</f>
        <v>-549.16005325708795</v>
      </c>
      <c r="I11" s="21">
        <f>-I10*Assumptions!I22</f>
        <v>-578.01422554686724</v>
      </c>
      <c r="J11" s="3"/>
      <c r="K11" s="3"/>
      <c r="L11" s="3"/>
      <c r="M11" s="3"/>
      <c r="N11" s="3"/>
      <c r="O11" s="3"/>
      <c r="P11" s="3"/>
      <c r="Q11" s="3"/>
      <c r="R11" s="3"/>
      <c r="S11" s="3"/>
      <c r="T11" s="3"/>
      <c r="U11" s="3"/>
      <c r="V11" s="3"/>
      <c r="W11" s="3"/>
      <c r="X11" s="3"/>
      <c r="Y11" s="3"/>
      <c r="Z11" s="3"/>
    </row>
    <row r="12" spans="1:26">
      <c r="A12" s="3"/>
      <c r="B12" s="3"/>
      <c r="C12" s="19" t="s">
        <v>52</v>
      </c>
      <c r="D12" s="20">
        <f t="shared" ref="D12:I12" si="1">D10+D11</f>
        <v>1518.38</v>
      </c>
      <c r="E12" s="20">
        <f t="shared" si="1"/>
        <v>1642.12797</v>
      </c>
      <c r="F12" s="20">
        <f t="shared" si="1"/>
        <v>1780.5358988999999</v>
      </c>
      <c r="G12" s="20">
        <f t="shared" si="1"/>
        <v>1935.9281228039999</v>
      </c>
      <c r="H12" s="20">
        <f t="shared" si="1"/>
        <v>2065.8878193957121</v>
      </c>
      <c r="I12" s="20">
        <f t="shared" si="1"/>
        <v>2174.4344675334528</v>
      </c>
      <c r="J12" s="3"/>
      <c r="K12" s="3"/>
      <c r="L12" s="3"/>
      <c r="M12" s="3"/>
      <c r="N12" s="3"/>
      <c r="O12" s="3"/>
      <c r="P12" s="3"/>
      <c r="Q12" s="3"/>
      <c r="R12" s="3"/>
      <c r="S12" s="3"/>
      <c r="T12" s="3"/>
      <c r="U12" s="3"/>
      <c r="V12" s="3"/>
      <c r="W12" s="3"/>
      <c r="X12" s="3"/>
      <c r="Y12" s="3"/>
      <c r="Z12" s="3"/>
    </row>
    <row r="13" spans="1:26">
      <c r="A13" s="3"/>
      <c r="B13" s="3"/>
      <c r="C13" s="15" t="s">
        <v>53</v>
      </c>
      <c r="D13" s="21">
        <f>D7*Assumptions!D19</f>
        <v>576.6</v>
      </c>
      <c r="E13" s="21">
        <f>E7*Assumptions!E19</f>
        <v>593.89800000000002</v>
      </c>
      <c r="F13" s="21">
        <f>F7*Assumptions!F19</f>
        <v>614.68443000000002</v>
      </c>
      <c r="G13" s="21">
        <f>G7*Assumptions!G19</f>
        <v>639.2718071999999</v>
      </c>
      <c r="H13" s="21">
        <f>H7*Assumptions!H19</f>
        <v>664.84267948800004</v>
      </c>
      <c r="I13" s="21">
        <f>I7*Assumptions!I19</f>
        <v>688.11217327008001</v>
      </c>
      <c r="J13" s="3"/>
      <c r="K13" s="3"/>
      <c r="L13" s="3"/>
      <c r="M13" s="3"/>
      <c r="N13" s="3"/>
      <c r="O13" s="3"/>
      <c r="P13" s="3"/>
      <c r="Q13" s="3"/>
      <c r="R13" s="3"/>
      <c r="S13" s="3"/>
      <c r="T13" s="3"/>
      <c r="U13" s="3"/>
      <c r="V13" s="3"/>
      <c r="W13" s="3"/>
      <c r="X13" s="3"/>
      <c r="Y13" s="3"/>
      <c r="Z13" s="3"/>
    </row>
    <row r="14" spans="1:26">
      <c r="A14" s="3"/>
      <c r="B14" s="3"/>
      <c r="C14" s="15" t="s">
        <v>54</v>
      </c>
      <c r="D14" s="21">
        <f>-D7*Assumptions!D20</f>
        <v>-615.04</v>
      </c>
      <c r="E14" s="21">
        <f>-E7*Assumptions!E20</f>
        <v>-633.49120000000005</v>
      </c>
      <c r="F14" s="21">
        <f>-F7*Assumptions!F20</f>
        <v>-655.66339200000004</v>
      </c>
      <c r="G14" s="21">
        <f>-G7*Assumptions!G20</f>
        <v>-681.88992768000003</v>
      </c>
      <c r="H14" s="21">
        <f>-H7*Assumptions!H20</f>
        <v>-709.16552478720007</v>
      </c>
      <c r="I14" s="21">
        <f>-I7*Assumptions!I20</f>
        <v>-733.98631815475198</v>
      </c>
      <c r="J14" s="3"/>
      <c r="K14" s="3"/>
      <c r="L14" s="3"/>
      <c r="M14" s="3"/>
      <c r="N14" s="3"/>
      <c r="O14" s="3"/>
      <c r="P14" s="3"/>
      <c r="Q14" s="3"/>
      <c r="R14" s="3"/>
      <c r="S14" s="3"/>
      <c r="T14" s="3"/>
      <c r="U14" s="3"/>
      <c r="V14" s="3"/>
      <c r="W14" s="3"/>
      <c r="X14" s="3"/>
      <c r="Y14" s="3"/>
      <c r="Z14" s="3"/>
    </row>
    <row r="15" spans="1:26">
      <c r="A15" s="3"/>
      <c r="B15" s="3"/>
      <c r="C15" s="15" t="s">
        <v>55</v>
      </c>
      <c r="D15" s="21">
        <f>-D7*Assumptions!D21</f>
        <v>-96.100000000000009</v>
      </c>
      <c r="E15" s="21">
        <f>-E7*Assumptions!E21</f>
        <v>-98.983000000000018</v>
      </c>
      <c r="F15" s="21">
        <f>-F7*Assumptions!F21</f>
        <v>-102.447405</v>
      </c>
      <c r="G15" s="21">
        <f>-G7*Assumptions!G21</f>
        <v>-106.5453012</v>
      </c>
      <c r="H15" s="21">
        <f>-H7*Assumptions!H21</f>
        <v>-110.80711324800001</v>
      </c>
      <c r="I15" s="21">
        <f>-I7*Assumptions!I21</f>
        <v>-114.68536221168</v>
      </c>
      <c r="J15" s="3"/>
      <c r="K15" s="3"/>
      <c r="L15" s="3"/>
      <c r="M15" s="3"/>
      <c r="N15" s="3"/>
      <c r="O15" s="3"/>
      <c r="P15" s="3"/>
      <c r="Q15" s="3"/>
      <c r="R15" s="3"/>
      <c r="S15" s="3"/>
      <c r="T15" s="3"/>
      <c r="U15" s="3"/>
      <c r="V15" s="3"/>
      <c r="W15" s="3"/>
      <c r="X15" s="3"/>
      <c r="Y15" s="3"/>
      <c r="Z15" s="3"/>
    </row>
    <row r="16" spans="1:26">
      <c r="A16" s="3"/>
      <c r="B16" s="3"/>
      <c r="C16" s="22" t="s">
        <v>56</v>
      </c>
      <c r="D16" s="23">
        <f t="shared" ref="D16:I16" si="2">D12+D13+D14+D15</f>
        <v>1383.8400000000001</v>
      </c>
      <c r="E16" s="23">
        <f t="shared" si="2"/>
        <v>1503.5517700000003</v>
      </c>
      <c r="F16" s="23">
        <f t="shared" si="2"/>
        <v>1637.1095319000001</v>
      </c>
      <c r="G16" s="23">
        <f t="shared" si="2"/>
        <v>1786.7647011239997</v>
      </c>
      <c r="H16" s="23">
        <f t="shared" si="2"/>
        <v>1910.7578608485123</v>
      </c>
      <c r="I16" s="23">
        <f t="shared" si="2"/>
        <v>2013.8749604371005</v>
      </c>
      <c r="J16" s="3"/>
      <c r="K16" s="3"/>
      <c r="L16" s="3"/>
      <c r="M16" s="3"/>
      <c r="N16" s="3"/>
      <c r="O16" s="3"/>
      <c r="P16" s="3"/>
      <c r="Q16" s="3"/>
      <c r="R16" s="3"/>
      <c r="S16" s="3"/>
      <c r="T16" s="3"/>
      <c r="U16" s="3"/>
      <c r="V16" s="3"/>
      <c r="W16" s="3"/>
      <c r="X16" s="3"/>
      <c r="Y16" s="3"/>
      <c r="Z16" s="3"/>
    </row>
    <row r="17" spans="1:26">
      <c r="A17" s="3"/>
      <c r="B17" s="3"/>
      <c r="C17" s="15" t="s">
        <v>57</v>
      </c>
      <c r="D17" s="24">
        <v>0</v>
      </c>
      <c r="E17" s="24">
        <v>1</v>
      </c>
      <c r="F17" s="24">
        <v>2</v>
      </c>
      <c r="G17" s="24">
        <v>3</v>
      </c>
      <c r="H17" s="24">
        <v>4</v>
      </c>
      <c r="I17" s="24">
        <v>5</v>
      </c>
      <c r="J17" s="3"/>
      <c r="K17" s="3"/>
      <c r="L17" s="3"/>
      <c r="M17" s="3"/>
      <c r="N17" s="3"/>
      <c r="O17" s="3"/>
      <c r="P17" s="3"/>
      <c r="Q17" s="3"/>
      <c r="R17" s="3"/>
      <c r="S17" s="3"/>
      <c r="T17" s="3"/>
      <c r="U17" s="3"/>
      <c r="V17" s="3"/>
      <c r="W17" s="3"/>
      <c r="X17" s="3"/>
      <c r="Y17" s="3"/>
      <c r="Z17" s="3"/>
    </row>
    <row r="18" spans="1:26">
      <c r="A18" s="3"/>
      <c r="B18" s="3"/>
      <c r="C18" s="15" t="s">
        <v>58</v>
      </c>
      <c r="D18" s="25">
        <f>1</f>
        <v>1</v>
      </c>
      <c r="E18" s="26">
        <f>1/(1+Assumptions!$D$27)^E17</f>
        <v>0.92165898617511521</v>
      </c>
      <c r="F18" s="26">
        <f>1/(1+Assumptions!$D$27)^F17</f>
        <v>0.84945528679734128</v>
      </c>
      <c r="G18" s="26">
        <f>1/(1+Assumptions!$D$27)^G17</f>
        <v>0.78290809843072917</v>
      </c>
      <c r="H18" s="26">
        <f>1/(1+Assumptions!$D$27)^H17</f>
        <v>0.72157428426795334</v>
      </c>
      <c r="I18" s="26">
        <f>1/(1+Assumptions!$D$27)^I17</f>
        <v>0.66504542328843619</v>
      </c>
      <c r="J18" s="3"/>
      <c r="K18" s="3"/>
      <c r="L18" s="3"/>
      <c r="M18" s="3"/>
      <c r="N18" s="3"/>
      <c r="O18" s="3"/>
      <c r="P18" s="3"/>
      <c r="Q18" s="3"/>
      <c r="R18" s="3"/>
      <c r="S18" s="3"/>
      <c r="T18" s="3"/>
      <c r="U18" s="3"/>
      <c r="V18" s="3"/>
      <c r="W18" s="3"/>
      <c r="X18" s="3"/>
      <c r="Y18" s="3"/>
      <c r="Z18" s="3"/>
    </row>
    <row r="19" spans="1:26">
      <c r="A19" s="3"/>
      <c r="B19" s="3"/>
      <c r="C19" s="27"/>
      <c r="D19" s="28"/>
      <c r="E19" s="28"/>
      <c r="F19" s="28"/>
      <c r="G19" s="28"/>
      <c r="H19" s="28"/>
      <c r="I19" s="28"/>
      <c r="J19" s="3"/>
      <c r="K19" s="3"/>
      <c r="L19" s="3"/>
      <c r="M19" s="3"/>
      <c r="N19" s="3"/>
      <c r="O19" s="3"/>
      <c r="P19" s="3"/>
      <c r="Q19" s="3"/>
      <c r="R19" s="3"/>
      <c r="S19" s="3"/>
      <c r="T19" s="3"/>
      <c r="U19" s="3"/>
      <c r="V19" s="3"/>
      <c r="W19" s="3"/>
      <c r="X19" s="3"/>
      <c r="Y19" s="3"/>
      <c r="Z19" s="3"/>
    </row>
    <row r="20" spans="1:26">
      <c r="A20" s="3"/>
      <c r="B20" s="3"/>
      <c r="C20" s="27"/>
      <c r="D20" s="28"/>
      <c r="E20" s="28"/>
      <c r="F20" s="28"/>
      <c r="G20" s="28"/>
      <c r="H20" s="28"/>
      <c r="I20" s="28"/>
      <c r="J20" s="3"/>
      <c r="K20" s="3"/>
      <c r="L20" s="3"/>
      <c r="M20" s="3"/>
      <c r="N20" s="3"/>
      <c r="O20" s="3"/>
      <c r="P20" s="3"/>
      <c r="Q20" s="3"/>
      <c r="R20" s="3"/>
      <c r="S20" s="3"/>
      <c r="T20" s="3"/>
      <c r="U20" s="3"/>
      <c r="V20" s="3"/>
      <c r="W20" s="3"/>
      <c r="X20" s="3"/>
      <c r="Y20" s="3"/>
      <c r="Z20" s="3"/>
    </row>
    <row r="21" spans="1:26" ht="20" customHeight="1">
      <c r="A21" s="3"/>
      <c r="B21" s="3"/>
      <c r="C21" s="52" t="s">
        <v>59</v>
      </c>
      <c r="D21" s="53" t="s">
        <v>59</v>
      </c>
      <c r="E21" s="53" t="s">
        <v>59</v>
      </c>
      <c r="F21" s="53" t="s">
        <v>59</v>
      </c>
      <c r="G21" s="28"/>
      <c r="H21" s="28"/>
      <c r="I21" s="28"/>
      <c r="J21" s="3"/>
      <c r="K21" s="3"/>
      <c r="L21" s="3"/>
      <c r="M21" s="3"/>
      <c r="N21" s="3"/>
      <c r="O21" s="3"/>
      <c r="P21" s="3"/>
      <c r="Q21" s="3"/>
      <c r="R21" s="3"/>
      <c r="S21" s="3"/>
      <c r="T21" s="3"/>
      <c r="U21" s="3"/>
      <c r="V21" s="3"/>
      <c r="W21" s="3"/>
      <c r="X21" s="3"/>
      <c r="Y21" s="3"/>
      <c r="Z21" s="3"/>
    </row>
    <row r="22" spans="1:26">
      <c r="A22" s="3"/>
      <c r="B22" s="3"/>
      <c r="C22" s="29" t="s">
        <v>60</v>
      </c>
      <c r="D22" s="30">
        <f>SUMPRODUCT(E16:I16,E18:I18)</f>
        <v>6893.3579628039224</v>
      </c>
      <c r="E22" s="28"/>
      <c r="F22" s="28"/>
      <c r="G22" s="28"/>
      <c r="H22" s="28"/>
      <c r="I22" s="28"/>
      <c r="J22" s="3"/>
      <c r="K22" s="3"/>
      <c r="L22" s="3"/>
      <c r="M22" s="3"/>
      <c r="N22" s="3"/>
      <c r="O22" s="3"/>
      <c r="P22" s="3"/>
      <c r="Q22" s="3"/>
      <c r="R22" s="3"/>
      <c r="S22" s="3"/>
      <c r="T22" s="3"/>
      <c r="U22" s="3"/>
      <c r="V22" s="3"/>
      <c r="W22" s="3"/>
      <c r="X22" s="3"/>
      <c r="Y22" s="3"/>
      <c r="Z22" s="3"/>
    </row>
    <row r="23" spans="1:26">
      <c r="A23" s="3"/>
      <c r="B23" s="3"/>
      <c r="C23" s="29" t="s">
        <v>61</v>
      </c>
      <c r="D23" s="30">
        <f>(I16*(1+Assumptions!$D$28)/(Assumptions!$D$27-Assumptions!$D$28))*I18</f>
        <v>22880.021394195352</v>
      </c>
      <c r="E23" s="28"/>
      <c r="F23" s="28"/>
      <c r="G23" s="28"/>
      <c r="H23" s="28"/>
      <c r="I23" s="28"/>
      <c r="J23" s="3"/>
      <c r="K23" s="3"/>
      <c r="L23" s="3"/>
      <c r="M23" s="3"/>
      <c r="N23" s="3"/>
      <c r="O23" s="3"/>
      <c r="P23" s="3"/>
      <c r="Q23" s="3"/>
      <c r="R23" s="3"/>
      <c r="S23" s="3"/>
      <c r="T23" s="3"/>
      <c r="U23" s="3"/>
      <c r="V23" s="3"/>
      <c r="W23" s="3"/>
      <c r="X23" s="3"/>
      <c r="Y23" s="3"/>
      <c r="Z23" s="3"/>
    </row>
    <row r="24" spans="1:26">
      <c r="A24" s="3"/>
      <c r="B24" s="3"/>
      <c r="C24" s="31" t="s">
        <v>3</v>
      </c>
      <c r="D24" s="20">
        <f>SUM(D22:D23)</f>
        <v>29773.379356999274</v>
      </c>
      <c r="E24" s="28"/>
      <c r="F24" s="28"/>
      <c r="G24" s="28"/>
      <c r="H24" s="28"/>
      <c r="I24" s="28"/>
      <c r="J24" s="3"/>
      <c r="K24" s="3"/>
      <c r="L24" s="3"/>
      <c r="M24" s="3"/>
      <c r="N24" s="3"/>
      <c r="O24" s="3"/>
      <c r="P24" s="3"/>
      <c r="Q24" s="3"/>
      <c r="R24" s="3"/>
      <c r="S24" s="3"/>
      <c r="T24" s="3"/>
      <c r="U24" s="3"/>
      <c r="V24" s="3"/>
      <c r="W24" s="3"/>
      <c r="X24" s="3"/>
      <c r="Y24" s="3"/>
      <c r="Z24" s="3"/>
    </row>
    <row r="25" spans="1:26">
      <c r="A25" s="3"/>
      <c r="B25" s="3"/>
      <c r="C25" s="29" t="s">
        <v>4</v>
      </c>
      <c r="D25" s="21">
        <f>Assumptions!D10</f>
        <v>6944</v>
      </c>
      <c r="E25" s="28"/>
      <c r="F25" s="28"/>
      <c r="G25" s="28"/>
      <c r="H25" s="28"/>
      <c r="I25" s="28"/>
      <c r="J25" s="3"/>
      <c r="K25" s="3"/>
      <c r="L25" s="3"/>
      <c r="M25" s="3"/>
      <c r="N25" s="3"/>
      <c r="O25" s="3"/>
      <c r="P25" s="3"/>
      <c r="Q25" s="3"/>
      <c r="R25" s="3"/>
      <c r="S25" s="3"/>
      <c r="T25" s="3"/>
      <c r="U25" s="3"/>
      <c r="V25" s="3"/>
      <c r="W25" s="3"/>
      <c r="X25" s="3"/>
      <c r="Y25" s="3"/>
      <c r="Z25" s="3"/>
    </row>
    <row r="26" spans="1:26">
      <c r="A26" s="3"/>
      <c r="B26" s="3"/>
      <c r="C26" s="31" t="s">
        <v>5</v>
      </c>
      <c r="D26" s="20">
        <f>D24+D25</f>
        <v>36717.37935699927</v>
      </c>
      <c r="E26" s="28"/>
      <c r="F26" s="28"/>
      <c r="G26" s="28"/>
      <c r="H26" s="28"/>
      <c r="I26" s="28"/>
      <c r="J26" s="3"/>
      <c r="K26" s="3"/>
      <c r="L26" s="3"/>
      <c r="M26" s="3"/>
      <c r="N26" s="3"/>
      <c r="O26" s="3"/>
      <c r="P26" s="3"/>
      <c r="Q26" s="3"/>
      <c r="R26" s="3"/>
      <c r="S26" s="3"/>
      <c r="T26" s="3"/>
      <c r="U26" s="3"/>
      <c r="V26" s="3"/>
      <c r="W26" s="3"/>
      <c r="X26" s="3"/>
      <c r="Y26" s="3"/>
      <c r="Z26" s="3"/>
    </row>
    <row r="27" spans="1:26">
      <c r="A27" s="3"/>
      <c r="B27" s="3"/>
      <c r="C27" s="29" t="s">
        <v>6</v>
      </c>
      <c r="D27" s="21">
        <f>Assumptions!D9</f>
        <v>5600</v>
      </c>
      <c r="E27" s="28"/>
      <c r="F27" s="28"/>
      <c r="G27" s="28"/>
      <c r="H27" s="28"/>
      <c r="I27" s="28"/>
      <c r="J27" s="3"/>
      <c r="K27" s="3"/>
      <c r="L27" s="3"/>
      <c r="M27" s="3"/>
      <c r="N27" s="3"/>
      <c r="O27" s="3"/>
      <c r="P27" s="3"/>
      <c r="Q27" s="3"/>
      <c r="R27" s="3"/>
      <c r="S27" s="3"/>
      <c r="T27" s="3"/>
      <c r="U27" s="3"/>
      <c r="V27" s="3"/>
      <c r="W27" s="3"/>
      <c r="X27" s="3"/>
      <c r="Y27" s="3"/>
      <c r="Z27" s="3"/>
    </row>
    <row r="28" spans="1:26">
      <c r="A28" s="3"/>
      <c r="B28" s="3"/>
      <c r="C28" s="32" t="s">
        <v>7</v>
      </c>
      <c r="D28" s="33">
        <f>D26/D27</f>
        <v>6.5566748851784409</v>
      </c>
      <c r="E28" s="28"/>
      <c r="F28" s="28"/>
      <c r="G28" s="28"/>
      <c r="H28" s="28"/>
      <c r="I28" s="28"/>
      <c r="J28" s="3"/>
      <c r="K28" s="3"/>
      <c r="L28" s="3"/>
      <c r="M28" s="3"/>
      <c r="N28" s="3"/>
      <c r="O28" s="3"/>
      <c r="P28" s="3"/>
      <c r="Q28" s="3"/>
      <c r="R28" s="3"/>
      <c r="S28" s="3"/>
      <c r="T28" s="3"/>
      <c r="U28" s="3"/>
      <c r="V28" s="3"/>
      <c r="W28" s="3"/>
      <c r="X28" s="3"/>
      <c r="Y28" s="3"/>
      <c r="Z28" s="3"/>
    </row>
    <row r="29" spans="1:26">
      <c r="A29" s="3"/>
      <c r="B29" s="3"/>
      <c r="C29" s="31" t="s">
        <v>8</v>
      </c>
      <c r="D29" s="34">
        <f>D28/Assumptions!D8-1</f>
        <v>-0.45361042623512993</v>
      </c>
      <c r="E29" s="28"/>
      <c r="F29" s="28"/>
      <c r="G29" s="28"/>
      <c r="H29" s="28"/>
      <c r="I29" s="28"/>
      <c r="J29" s="3"/>
      <c r="K29" s="3"/>
      <c r="L29" s="3"/>
      <c r="M29" s="3"/>
      <c r="N29" s="3"/>
      <c r="O29" s="3"/>
      <c r="P29" s="3"/>
      <c r="Q29" s="3"/>
      <c r="R29" s="3"/>
      <c r="S29" s="3"/>
      <c r="T29" s="3"/>
      <c r="U29" s="3"/>
      <c r="V29" s="3"/>
      <c r="W29" s="3"/>
      <c r="X29" s="3"/>
      <c r="Y29" s="3"/>
      <c r="Z29" s="3"/>
    </row>
    <row r="30" spans="1:26">
      <c r="A30" s="3"/>
      <c r="B30" s="3"/>
      <c r="C30" s="31" t="s">
        <v>62</v>
      </c>
      <c r="D30" s="34">
        <f>D23/D24</f>
        <v>0.76847243706706081</v>
      </c>
      <c r="E30" s="28"/>
      <c r="F30" s="28"/>
      <c r="G30" s="28"/>
      <c r="H30" s="28"/>
      <c r="I30" s="28"/>
      <c r="J30" s="3"/>
      <c r="K30" s="3"/>
      <c r="L30" s="3"/>
      <c r="M30" s="3"/>
      <c r="N30" s="3"/>
      <c r="O30" s="3"/>
      <c r="P30" s="3"/>
      <c r="Q30" s="3"/>
      <c r="R30" s="3"/>
      <c r="S30" s="3"/>
      <c r="T30" s="3"/>
      <c r="U30" s="3"/>
      <c r="V30" s="3"/>
      <c r="W30" s="3"/>
      <c r="X30" s="3"/>
      <c r="Y30" s="3"/>
      <c r="Z30" s="3"/>
    </row>
    <row r="31" spans="1:26">
      <c r="A31" s="3"/>
      <c r="B31" s="3"/>
      <c r="C31" s="29" t="s">
        <v>17</v>
      </c>
      <c r="D31" s="35">
        <f>Assumptions!D8</f>
        <v>12</v>
      </c>
      <c r="E31" s="28"/>
      <c r="F31" s="28"/>
      <c r="G31" s="28"/>
      <c r="H31" s="28"/>
      <c r="I31" s="28"/>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sheetData>
  <mergeCells count="3">
    <mergeCell ref="C2:I2"/>
    <mergeCell ref="C3:I3"/>
    <mergeCell ref="C21:F21"/>
  </mergeCells>
  <conditionalFormatting sqref="D29">
    <cfRule type="cellIs" dxfId="1" priority="1" operator="lessThan">
      <formula>0</formula>
    </cfRule>
    <cfRule type="cellIs" dxfId="0" priority="2" operator="greaterThanOrEqual">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5A5A5"/>
  </sheetPr>
  <dimension ref="A1:Z80"/>
  <sheetViews>
    <sheetView workbookViewId="0">
      <pane ySplit="7" topLeftCell="A8" activePane="bottomLeft" state="frozen"/>
      <selection pane="bottomLeft" activeCell="D30" sqref="D30"/>
    </sheetView>
  </sheetViews>
  <sheetFormatPr baseColWidth="10" defaultColWidth="8.83203125" defaultRowHeight="14"/>
  <cols>
    <col min="1" max="2" width="2.33203125" customWidth="1"/>
    <col min="3" max="3" width="31" customWidth="1"/>
    <col min="4" max="8" width="14"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ht="24" customHeight="1">
      <c r="A2" s="3"/>
      <c r="B2" s="3"/>
      <c r="C2" s="39" t="s">
        <v>63</v>
      </c>
      <c r="D2" s="40"/>
      <c r="E2" s="40"/>
      <c r="F2" s="40"/>
      <c r="G2" s="40"/>
      <c r="H2" s="40"/>
      <c r="I2" s="40"/>
      <c r="J2" s="3"/>
      <c r="K2" s="3"/>
      <c r="L2" s="3"/>
      <c r="M2" s="3"/>
      <c r="N2" s="3"/>
      <c r="O2" s="3"/>
      <c r="P2" s="3"/>
      <c r="Q2" s="3"/>
      <c r="R2" s="3"/>
      <c r="S2" s="3"/>
      <c r="T2" s="3"/>
      <c r="U2" s="3"/>
      <c r="V2" s="3"/>
      <c r="W2" s="3"/>
      <c r="X2" s="3"/>
      <c r="Y2" s="3"/>
      <c r="Z2" s="3"/>
    </row>
    <row r="3" spans="1:26">
      <c r="A3" s="3"/>
      <c r="B3" s="3"/>
      <c r="C3" s="41" t="s">
        <v>64</v>
      </c>
      <c r="D3" s="40"/>
      <c r="E3" s="40"/>
      <c r="F3" s="40"/>
      <c r="G3" s="40"/>
      <c r="H3" s="40"/>
      <c r="I3" s="40"/>
      <c r="J3" s="3"/>
      <c r="K3" s="3"/>
      <c r="L3" s="3"/>
      <c r="M3" s="3"/>
      <c r="N3" s="3"/>
      <c r="O3" s="3"/>
      <c r="P3" s="3"/>
      <c r="Q3" s="3"/>
      <c r="R3" s="3"/>
      <c r="S3" s="3"/>
      <c r="T3" s="3"/>
      <c r="U3" s="3"/>
      <c r="V3" s="3"/>
      <c r="W3" s="3"/>
      <c r="X3" s="3"/>
      <c r="Y3" s="3"/>
      <c r="Z3" s="3"/>
    </row>
    <row r="4" spans="1:26">
      <c r="A4" s="3"/>
      <c r="B4" s="3"/>
      <c r="C4" s="11"/>
      <c r="D4" s="11"/>
      <c r="E4" s="11"/>
      <c r="F4" s="11"/>
      <c r="G4" s="11"/>
      <c r="H4" s="11"/>
      <c r="I4" s="11"/>
      <c r="J4" s="3"/>
      <c r="K4" s="3"/>
      <c r="L4" s="3"/>
      <c r="M4" s="3"/>
      <c r="N4" s="3"/>
      <c r="O4" s="3"/>
      <c r="P4" s="3"/>
      <c r="Q4" s="3"/>
      <c r="R4" s="3"/>
      <c r="S4" s="3"/>
      <c r="T4" s="3"/>
      <c r="U4" s="3"/>
      <c r="V4" s="3"/>
      <c r="W4" s="3"/>
      <c r="X4" s="3"/>
      <c r="Y4" s="3"/>
      <c r="Z4" s="3"/>
    </row>
    <row r="5" spans="1:26">
      <c r="A5" s="3"/>
      <c r="B5" s="3"/>
      <c r="C5" s="3"/>
      <c r="D5" s="3"/>
      <c r="E5" s="3"/>
      <c r="F5" s="3"/>
      <c r="G5" s="3"/>
      <c r="H5" s="3"/>
      <c r="I5" s="3"/>
      <c r="J5" s="3"/>
      <c r="K5" s="3"/>
      <c r="L5" s="3"/>
      <c r="M5" s="3"/>
      <c r="N5" s="3"/>
      <c r="O5" s="3"/>
      <c r="P5" s="3"/>
      <c r="Q5" s="3"/>
      <c r="R5" s="3"/>
      <c r="S5" s="3"/>
      <c r="T5" s="3"/>
      <c r="U5" s="3"/>
      <c r="V5" s="3"/>
      <c r="W5" s="3"/>
      <c r="X5" s="3"/>
      <c r="Y5" s="3"/>
      <c r="Z5" s="3"/>
    </row>
    <row r="6" spans="1:26" ht="20" customHeight="1">
      <c r="A6" s="3"/>
      <c r="B6" s="3"/>
      <c r="C6" s="42" t="s">
        <v>65</v>
      </c>
      <c r="D6" s="42" t="s">
        <v>65</v>
      </c>
      <c r="E6" s="42" t="s">
        <v>65</v>
      </c>
      <c r="F6" s="42" t="s">
        <v>65</v>
      </c>
      <c r="G6" s="42" t="s">
        <v>65</v>
      </c>
      <c r="H6" s="42" t="s">
        <v>65</v>
      </c>
      <c r="I6" s="42" t="s">
        <v>65</v>
      </c>
      <c r="J6" s="3"/>
      <c r="K6" s="3"/>
      <c r="L6" s="3"/>
      <c r="M6" s="3"/>
      <c r="N6" s="3"/>
      <c r="O6" s="3"/>
      <c r="P6" s="3"/>
      <c r="Q6" s="3"/>
      <c r="R6" s="3"/>
      <c r="S6" s="3"/>
      <c r="T6" s="3"/>
      <c r="U6" s="3"/>
      <c r="V6" s="3"/>
      <c r="W6" s="3"/>
      <c r="X6" s="3"/>
      <c r="Y6" s="3"/>
      <c r="Z6" s="3"/>
    </row>
    <row r="7" spans="1:26">
      <c r="A7" s="3"/>
      <c r="B7" s="3"/>
      <c r="C7" s="2" t="s">
        <v>66</v>
      </c>
      <c r="D7" s="10">
        <v>1.4999999999999999E-2</v>
      </c>
      <c r="E7" s="10">
        <v>0.02</v>
      </c>
      <c r="F7" s="10">
        <v>2.5000000000000001E-2</v>
      </c>
      <c r="G7" s="10">
        <v>0.03</v>
      </c>
      <c r="H7" s="10">
        <v>3.5000000000000003E-2</v>
      </c>
      <c r="I7" s="3"/>
      <c r="J7" s="3"/>
      <c r="K7" s="3"/>
      <c r="L7" s="3"/>
      <c r="M7" s="3"/>
      <c r="N7" s="3"/>
      <c r="O7" s="3"/>
      <c r="P7" s="3"/>
      <c r="Q7" s="3"/>
      <c r="R7" s="3"/>
      <c r="S7" s="3"/>
      <c r="T7" s="3"/>
      <c r="U7" s="3"/>
      <c r="V7" s="3"/>
      <c r="W7" s="3"/>
      <c r="X7" s="3"/>
      <c r="Y7" s="3"/>
      <c r="Z7" s="3"/>
    </row>
    <row r="8" spans="1:26">
      <c r="A8" s="3"/>
      <c r="B8" s="3"/>
      <c r="C8" s="36">
        <v>7.4999999999999997E-2</v>
      </c>
      <c r="D8" s="37">
        <f>('DCF Model'!$E$16/(1+$C8)^1+'DCF Model'!$F$16/(1+$C8)^2+'DCF Model'!$G$16/(1+$C8)^3+'DCF Model'!$H$16/(1+$C8)^4+'DCF Model'!$I$16/(1+$C8)^5+('DCF Model'!$I$16*(1+D$7)/($C8-D$7))/(1+$C8)^5+Assumptions!$D$10)/Assumptions!$D$9</f>
        <v>6.7431296419443489</v>
      </c>
      <c r="E8" s="37">
        <f>('DCF Model'!$E$16/(1+$C8)^1+'DCF Model'!$F$16/(1+$C8)^2+'DCF Model'!$G$16/(1+$C8)^3+'DCF Model'!$H$16/(1+$C8)^4+'DCF Model'!$I$16/(1+$C8)^5+('DCF Model'!$I$16*(1+E$7)/($C8-E$7))/(1+$C8)^5+Assumptions!$D$10)/Assumptions!$D$9</f>
        <v>7.1511357667491859</v>
      </c>
      <c r="F8" s="37">
        <f>('DCF Model'!$E$16/(1+$C8)^1+'DCF Model'!$F$16/(1+$C8)^2+'DCF Model'!$G$16/(1+$C8)^3+'DCF Model'!$H$16/(1+$C8)^4+'DCF Model'!$I$16/(1+$C8)^5+('DCF Model'!$I$16*(1+F$7)/($C8-F$7))/(1+$C8)^5+Assumptions!$D$10)/Assumptions!$D$9</f>
        <v>7.6407431165149893</v>
      </c>
      <c r="G8" s="37">
        <f>('DCF Model'!$E$16/(1+$C8)^1+'DCF Model'!$F$16/(1+$C8)^2+'DCF Model'!$G$16/(1+$C8)^3+'DCF Model'!$H$16/(1+$C8)^4+'DCF Model'!$I$16/(1+$C8)^5+('DCF Model'!$I$16*(1+G$7)/($C8-G$7))/(1+$C8)^5+Assumptions!$D$10)/Assumptions!$D$9</f>
        <v>8.2391520995620855</v>
      </c>
      <c r="H8" s="37">
        <f>('DCF Model'!$E$16/(1+$C8)^1+'DCF Model'!$F$16/(1+$C8)^2+'DCF Model'!$G$16/(1+$C8)^3+'DCF Model'!$H$16/(1+$C8)^4+'DCF Model'!$I$16/(1+$C8)^5+('DCF Model'!$I$16*(1+H$7)/($C8-H$7))/(1+$C8)^5+Assumptions!$D$10)/Assumptions!$D$9</f>
        <v>8.9871633283709507</v>
      </c>
      <c r="I8" s="3"/>
      <c r="J8" s="3"/>
      <c r="K8" s="3"/>
      <c r="L8" s="3"/>
      <c r="M8" s="3"/>
      <c r="N8" s="3"/>
      <c r="O8" s="3"/>
      <c r="P8" s="3"/>
      <c r="Q8" s="3"/>
      <c r="R8" s="3"/>
      <c r="S8" s="3"/>
      <c r="T8" s="3"/>
      <c r="U8" s="3"/>
      <c r="V8" s="3"/>
      <c r="W8" s="3"/>
      <c r="X8" s="3"/>
      <c r="Y8" s="3"/>
      <c r="Z8" s="3"/>
    </row>
    <row r="9" spans="1:26">
      <c r="A9" s="3"/>
      <c r="B9" s="3"/>
      <c r="C9" s="36">
        <v>0.08</v>
      </c>
      <c r="D9" s="37">
        <f>('DCF Model'!$E$16/(1+$C9)^1+'DCF Model'!$F$16/(1+$C9)^2+'DCF Model'!$G$16/(1+$C9)^3+'DCF Model'!$H$16/(1+$C9)^4+'DCF Model'!$I$16/(1+$C9)^5+('DCF Model'!$I$16*(1+D$7)/($C9-D$7))/(1+$C9)^5+Assumptions!$D$10)/Assumptions!$D$9</f>
        <v>6.3099632025775927</v>
      </c>
      <c r="E9" s="37">
        <f>('DCF Model'!$E$16/(1+$C9)^1+'DCF Model'!$F$16/(1+$C9)^2+'DCF Model'!$G$16/(1+$C9)^3+'DCF Model'!$H$16/(1+$C9)^4+'DCF Model'!$I$16/(1+$C9)^5+('DCF Model'!$I$16*(1+E$7)/($C9-E$7))/(1+$C9)^5+Assumptions!$D$10)/Assumptions!$D$9</f>
        <v>6.6488501567260707</v>
      </c>
      <c r="F9" s="37">
        <f>('DCF Model'!$E$16/(1+$C9)^1+'DCF Model'!$F$16/(1+$C9)^2+'DCF Model'!$G$16/(1+$C9)^3+'DCF Model'!$H$16/(1+$C9)^4+'DCF Model'!$I$16/(1+$C9)^5+('DCF Model'!$I$16*(1+F$7)/($C9-F$7))/(1+$C9)^5+Assumptions!$D$10)/Assumptions!$D$9</f>
        <v>7.0493529207197243</v>
      </c>
      <c r="G9" s="37">
        <f>('DCF Model'!$E$16/(1+$C9)^1+'DCF Model'!$F$16/(1+$C9)^2+'DCF Model'!$G$16/(1+$C9)^3+'DCF Model'!$H$16/(1+$C9)^4+'DCF Model'!$I$16/(1+$C9)^5+('DCF Model'!$I$16*(1+G$7)/($C9-G$7))/(1+$C9)^5+Assumptions!$D$10)/Assumptions!$D$9</f>
        <v>7.5299562375121107</v>
      </c>
      <c r="H9" s="37">
        <f>('DCF Model'!$E$16/(1+$C9)^1+'DCF Model'!$F$16/(1+$C9)^2+'DCF Model'!$G$16/(1+$C9)^3+'DCF Model'!$H$16/(1+$C9)^4+'DCF Model'!$I$16/(1+$C9)^5+('DCF Model'!$I$16*(1+H$7)/($C9-H$7))/(1+$C9)^5+Assumptions!$D$10)/Assumptions!$D$9</f>
        <v>8.1173602913694687</v>
      </c>
      <c r="I9" s="3"/>
      <c r="J9" s="3"/>
      <c r="K9" s="3"/>
      <c r="L9" s="3"/>
      <c r="M9" s="3"/>
      <c r="N9" s="3"/>
      <c r="O9" s="3"/>
      <c r="P9" s="3"/>
      <c r="Q9" s="3"/>
      <c r="R9" s="3"/>
      <c r="S9" s="3"/>
      <c r="T9" s="3"/>
      <c r="U9" s="3"/>
      <c r="V9" s="3"/>
      <c r="W9" s="3"/>
      <c r="X9" s="3"/>
      <c r="Y9" s="3"/>
      <c r="Z9" s="3"/>
    </row>
    <row r="10" spans="1:26">
      <c r="A10" s="3"/>
      <c r="B10" s="3"/>
      <c r="C10" s="36">
        <v>8.5000000000000006E-2</v>
      </c>
      <c r="D10" s="37">
        <f>('DCF Model'!$E$16/(1+$C10)^1+'DCF Model'!$F$16/(1+$C10)^2+'DCF Model'!$G$16/(1+$C10)^3+'DCF Model'!$H$16/(1+$C10)^4+'DCF Model'!$I$16/(1+$C10)^5+('DCF Model'!$I$16*(1+D$7)/($C10-D$7))/(1+$C10)^5+Assumptions!$D$10)/Assumptions!$D$9</f>
        <v>5.9388345862062666</v>
      </c>
      <c r="E10" s="37">
        <f>('DCF Model'!$E$16/(1+$C10)^1+'DCF Model'!$F$16/(1+$C10)^2+'DCF Model'!$G$16/(1+$C10)^3+'DCF Model'!$H$16/(1+$C10)^4+'DCF Model'!$I$16/(1+$C10)^5+('DCF Model'!$I$16*(1+E$7)/($C10-E$7))/(1+$C10)^5+Assumptions!$D$10)/Assumptions!$D$9</f>
        <v>6.2239916472703483</v>
      </c>
      <c r="F10" s="38">
        <f>('DCF Model'!$E$16/(1+$C10)^1+'DCF Model'!$F$16/(1+$C10)^2+'DCF Model'!$G$16/(1+$C10)^3+'DCF Model'!$H$16/(1+$C10)^4+'DCF Model'!$I$16/(1+$C10)^5+('DCF Model'!$I$16*(1+F$7)/($C10-F$7))/(1+$C10)^5+Assumptions!$D$10)/Assumptions!$D$9</f>
        <v>6.5566748851784409</v>
      </c>
      <c r="G10" s="37">
        <f>('DCF Model'!$E$16/(1+$C10)^1+'DCF Model'!$F$16/(1+$C10)^2+'DCF Model'!$G$16/(1+$C10)^3+'DCF Model'!$H$16/(1+$C10)^4+'DCF Model'!$I$16/(1+$C10)^5+('DCF Model'!$I$16*(1+G$7)/($C10-G$7))/(1+$C10)^5+Assumptions!$D$10)/Assumptions!$D$9</f>
        <v>6.9498459845243712</v>
      </c>
      <c r="H10" s="37">
        <f>('DCF Model'!$E$16/(1+$C10)^1+'DCF Model'!$F$16/(1+$C10)^2+'DCF Model'!$G$16/(1+$C10)^3+'DCF Model'!$H$16/(1+$C10)^4+'DCF Model'!$I$16/(1+$C10)^5+('DCF Model'!$I$16*(1+H$7)/($C10-H$7))/(1+$C10)^5+Assumptions!$D$10)/Assumptions!$D$9</f>
        <v>7.4216513037394858</v>
      </c>
      <c r="I10" s="3"/>
      <c r="J10" s="3"/>
      <c r="K10" s="3"/>
      <c r="L10" s="3"/>
      <c r="M10" s="3"/>
      <c r="N10" s="3"/>
      <c r="O10" s="3"/>
      <c r="P10" s="3"/>
      <c r="Q10" s="3"/>
      <c r="R10" s="3"/>
      <c r="S10" s="3"/>
      <c r="T10" s="3"/>
      <c r="U10" s="3"/>
      <c r="V10" s="3"/>
      <c r="W10" s="3"/>
      <c r="X10" s="3"/>
      <c r="Y10" s="3"/>
      <c r="Z10" s="3"/>
    </row>
    <row r="11" spans="1:26">
      <c r="A11" s="3"/>
      <c r="B11" s="3"/>
      <c r="C11" s="36">
        <v>0.09</v>
      </c>
      <c r="D11" s="37">
        <f>('DCF Model'!$E$16/(1+$C11)^1+'DCF Model'!$F$16/(1+$C11)^2+'DCF Model'!$G$16/(1+$C11)^3+'DCF Model'!$H$16/(1+$C11)^4+'DCF Model'!$I$16/(1+$C11)^5+('DCF Model'!$I$16*(1+D$7)/($C11-D$7))/(1+$C11)^5+Assumptions!$D$10)/Assumptions!$D$9</f>
        <v>5.6173328770146504</v>
      </c>
      <c r="E11" s="37">
        <f>('DCF Model'!$E$16/(1+$C11)^1+'DCF Model'!$F$16/(1+$C11)^2+'DCF Model'!$G$16/(1+$C11)^3+'DCF Model'!$H$16/(1+$C11)^4+'DCF Model'!$I$16/(1+$C11)^5+('DCF Model'!$I$16*(1+E$7)/($C11-E$7))/(1+$C11)^5+Assumptions!$D$10)/Assumptions!$D$9</f>
        <v>5.8599654950259721</v>
      </c>
      <c r="F11" s="37">
        <f>('DCF Model'!$E$16/(1+$C11)^1+'DCF Model'!$F$16/(1+$C11)^2+'DCF Model'!$G$16/(1+$C11)^3+'DCF Model'!$H$16/(1+$C11)^4+'DCF Model'!$I$16/(1+$C11)^5+('DCF Model'!$I$16*(1+F$7)/($C11-F$7))/(1+$C11)^5+Assumptions!$D$10)/Assumptions!$D$9</f>
        <v>6.1399262081159565</v>
      </c>
      <c r="G11" s="37">
        <f>('DCF Model'!$E$16/(1+$C11)^1+'DCF Model'!$F$16/(1+$C11)^2+'DCF Model'!$G$16/(1+$C11)^3+'DCF Model'!$H$16/(1+$C11)^4+'DCF Model'!$I$16/(1+$C11)^5+('DCF Model'!$I$16*(1+G$7)/($C11-G$7))/(1+$C11)^5+Assumptions!$D$10)/Assumptions!$D$9</f>
        <v>6.4665470400542748</v>
      </c>
      <c r="H11" s="37">
        <f>('DCF Model'!$E$16/(1+$C11)^1+'DCF Model'!$F$16/(1+$C11)^2+'DCF Model'!$G$16/(1+$C11)^3+'DCF Model'!$H$16/(1+$C11)^4+'DCF Model'!$I$16/(1+$C11)^5+('DCF Model'!$I$16*(1+H$7)/($C11-H$7))/(1+$C11)^5+Assumptions!$D$10)/Assumptions!$D$9</f>
        <v>6.8525534777995567</v>
      </c>
      <c r="I11" s="3"/>
      <c r="J11" s="3"/>
      <c r="K11" s="3"/>
      <c r="L11" s="3"/>
      <c r="M11" s="3"/>
      <c r="N11" s="3"/>
      <c r="O11" s="3"/>
      <c r="P11" s="3"/>
      <c r="Q11" s="3"/>
      <c r="R11" s="3"/>
      <c r="S11" s="3"/>
      <c r="T11" s="3"/>
      <c r="U11" s="3"/>
      <c r="V11" s="3"/>
      <c r="W11" s="3"/>
      <c r="X11" s="3"/>
      <c r="Y11" s="3"/>
      <c r="Z11" s="3"/>
    </row>
    <row r="12" spans="1:26">
      <c r="A12" s="3"/>
      <c r="B12" s="3"/>
      <c r="C12" s="36">
        <v>9.5000000000000001E-2</v>
      </c>
      <c r="D12" s="37">
        <f>('DCF Model'!$E$16/(1+$C12)^1+'DCF Model'!$F$16/(1+$C12)^2+'DCF Model'!$G$16/(1+$C12)^3+'DCF Model'!$H$16/(1+$C12)^4+'DCF Model'!$I$16/(1+$C12)^5+('DCF Model'!$I$16*(1+D$7)/($C12-D$7))/(1+$C12)^5+Assumptions!$D$10)/Assumptions!$D$9</f>
        <v>5.3361499764742462</v>
      </c>
      <c r="E12" s="37">
        <f>('DCF Model'!$E$16/(1+$C12)^1+'DCF Model'!$F$16/(1+$C12)^2+'DCF Model'!$G$16/(1+$C12)^3+'DCF Model'!$H$16/(1+$C12)^4+'DCF Model'!$I$16/(1+$C12)^5+('DCF Model'!$I$16*(1+E$7)/($C12-E$7))/(1+$C12)^5+Assumptions!$D$10)/Assumptions!$D$9</f>
        <v>5.5446023057555589</v>
      </c>
      <c r="F12" s="37">
        <f>('DCF Model'!$E$16/(1+$C12)^1+'DCF Model'!$F$16/(1+$C12)^2+'DCF Model'!$G$16/(1+$C12)^3+'DCF Model'!$H$16/(1+$C12)^4+'DCF Model'!$I$16/(1+$C12)^5+('DCF Model'!$I$16*(1+F$7)/($C12-F$7))/(1+$C12)^5+Assumptions!$D$10)/Assumptions!$D$9</f>
        <v>5.7828335392199168</v>
      </c>
      <c r="G12" s="37">
        <f>('DCF Model'!$E$16/(1+$C12)^1+'DCF Model'!$F$16/(1+$C12)^2+'DCF Model'!$G$16/(1+$C12)^3+'DCF Model'!$H$16/(1+$C12)^4+'DCF Model'!$I$16/(1+$C12)^5+('DCF Model'!$I$16*(1+G$7)/($C12-G$7))/(1+$C12)^5+Assumptions!$D$10)/Assumptions!$D$9</f>
        <v>6.0577157316787922</v>
      </c>
      <c r="H12" s="37">
        <f>('DCF Model'!$E$16/(1+$C12)^1+'DCF Model'!$F$16/(1+$C12)^2+'DCF Model'!$G$16/(1+$C12)^3+'DCF Model'!$H$16/(1+$C12)^4+'DCF Model'!$I$16/(1+$C12)^5+('DCF Model'!$I$16*(1+H$7)/($C12-H$7))/(1+$C12)^5+Assumptions!$D$10)/Assumptions!$D$9</f>
        <v>6.3784116228808125</v>
      </c>
      <c r="I12" s="3"/>
      <c r="J12" s="3"/>
      <c r="K12" s="3"/>
      <c r="L12" s="3"/>
      <c r="M12" s="3"/>
      <c r="N12" s="3"/>
      <c r="O12" s="3"/>
      <c r="P12" s="3"/>
      <c r="Q12" s="3"/>
      <c r="R12" s="3"/>
      <c r="S12" s="3"/>
      <c r="T12" s="3"/>
      <c r="U12" s="3"/>
      <c r="V12" s="3"/>
      <c r="W12" s="3"/>
      <c r="X12" s="3"/>
      <c r="Y12" s="3"/>
      <c r="Z12" s="3"/>
    </row>
    <row r="13" spans="1:26">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c r="A15" s="3"/>
      <c r="B15" s="3"/>
      <c r="C15" s="43" t="s">
        <v>67</v>
      </c>
      <c r="D15" s="44" t="s">
        <v>67</v>
      </c>
      <c r="E15" s="44" t="s">
        <v>67</v>
      </c>
      <c r="F15" s="44" t="s">
        <v>67</v>
      </c>
      <c r="G15" s="44" t="s">
        <v>67</v>
      </c>
      <c r="H15" s="45" t="s">
        <v>67</v>
      </c>
      <c r="I15" s="3"/>
      <c r="J15" s="3"/>
      <c r="K15" s="3"/>
      <c r="L15" s="3"/>
      <c r="M15" s="3"/>
      <c r="N15" s="3"/>
      <c r="O15" s="3"/>
      <c r="P15" s="3"/>
      <c r="Q15" s="3"/>
      <c r="R15" s="3"/>
      <c r="S15" s="3"/>
      <c r="T15" s="3"/>
      <c r="U15" s="3"/>
      <c r="V15" s="3"/>
      <c r="W15" s="3"/>
      <c r="X15" s="3"/>
      <c r="Y15" s="3"/>
      <c r="Z15" s="3"/>
    </row>
    <row r="16" spans="1:26">
      <c r="A16" s="3"/>
      <c r="B16" s="3"/>
      <c r="C16" s="46" t="s">
        <v>67</v>
      </c>
      <c r="D16" s="47" t="s">
        <v>67</v>
      </c>
      <c r="E16" s="47" t="s">
        <v>67</v>
      </c>
      <c r="F16" s="47" t="s">
        <v>67</v>
      </c>
      <c r="G16" s="47" t="s">
        <v>67</v>
      </c>
      <c r="H16" s="48" t="s">
        <v>67</v>
      </c>
      <c r="I16" s="3"/>
      <c r="J16" s="3"/>
      <c r="K16" s="3"/>
      <c r="L16" s="3"/>
      <c r="M16" s="3"/>
      <c r="N16" s="3"/>
      <c r="O16" s="3"/>
      <c r="P16" s="3"/>
      <c r="Q16" s="3"/>
      <c r="R16" s="3"/>
      <c r="S16" s="3"/>
      <c r="T16" s="3"/>
      <c r="U16" s="3"/>
      <c r="V16" s="3"/>
      <c r="W16" s="3"/>
      <c r="X16" s="3"/>
      <c r="Y16" s="3"/>
      <c r="Z16" s="3"/>
    </row>
    <row r="17" spans="1:26">
      <c r="A17" s="3"/>
      <c r="B17" s="3"/>
      <c r="C17" s="46" t="s">
        <v>67</v>
      </c>
      <c r="D17" s="47" t="s">
        <v>67</v>
      </c>
      <c r="E17" s="47" t="s">
        <v>67</v>
      </c>
      <c r="F17" s="47" t="s">
        <v>67</v>
      </c>
      <c r="G17" s="47" t="s">
        <v>67</v>
      </c>
      <c r="H17" s="48" t="s">
        <v>67</v>
      </c>
      <c r="I17" s="3"/>
      <c r="J17" s="3"/>
      <c r="K17" s="3"/>
      <c r="L17" s="3"/>
      <c r="M17" s="3"/>
      <c r="N17" s="3"/>
      <c r="O17" s="3"/>
      <c r="P17" s="3"/>
      <c r="Q17" s="3"/>
      <c r="R17" s="3"/>
      <c r="S17" s="3"/>
      <c r="T17" s="3"/>
      <c r="U17" s="3"/>
      <c r="V17" s="3"/>
      <c r="W17" s="3"/>
      <c r="X17" s="3"/>
      <c r="Y17" s="3"/>
      <c r="Z17" s="3"/>
    </row>
    <row r="18" spans="1:26">
      <c r="A18" s="3"/>
      <c r="B18" s="3"/>
      <c r="C18" s="49" t="s">
        <v>67</v>
      </c>
      <c r="D18" s="50" t="s">
        <v>67</v>
      </c>
      <c r="E18" s="50" t="s">
        <v>67</v>
      </c>
      <c r="F18" s="50" t="s">
        <v>67</v>
      </c>
      <c r="G18" s="50" t="s">
        <v>67</v>
      </c>
      <c r="H18" s="51" t="s">
        <v>67</v>
      </c>
      <c r="I18" s="3"/>
      <c r="J18" s="3"/>
      <c r="K18" s="3"/>
      <c r="L18" s="3"/>
      <c r="M18" s="3"/>
      <c r="N18" s="3"/>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sheetData>
  <mergeCells count="4">
    <mergeCell ref="C2:I2"/>
    <mergeCell ref="C3:I3"/>
    <mergeCell ref="C6:I6"/>
    <mergeCell ref="C15:H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Summary</vt:lpstr>
      <vt:lpstr>Assumptions</vt:lpstr>
      <vt:lpstr>DCF Model</vt:lpstr>
      <vt:lpstr>Sensitivity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Gabe Mildner</cp:lastModifiedBy>
  <dcterms:modified xsi:type="dcterms:W3CDTF">2026-09-29T17:19:40Z</dcterms:modified>
</cp:coreProperties>
</file>